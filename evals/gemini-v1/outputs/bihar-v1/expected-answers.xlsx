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aca44fb1ac400f" /></Relationships>
</file>

<file path=xl/workbook.xml><?xml version="1.0" encoding="utf-8"?>
<x:workbook xmlns:x="http://schemas.openxmlformats.org/spreadsheetml/2006/main">
  <x:sheets>
    <x:sheet xmlns:r="http://schemas.openxmlformats.org/officeDocument/2006/relationships" name="Run log" sheetId="1" r:id="Rc50bf12f9cd047a3"/>
    <x:sheet xmlns:r="http://schemas.openxmlformats.org/officeDocument/2006/relationships" name="Fields" sheetId="2" r:id="R61c9a41da1e54bf6"/>
    <x:sheet xmlns:r="http://schemas.openxmlformats.org/officeDocument/2006/relationships" name="Case guide" sheetId="3" r:id="Rb0c4c7e4f5234ca8"/>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
    <x:numFmt numFmtId="201" formatCode="0"/>
    <x:numFmt numFmtId="202" formatCode="0000"/>
    <x:numFmt numFmtId="203" formatCode="0.0%"/>
    <x:numFmt numFmtId="204" formatCode="yyyy-mm-dd"/>
    <x:numFmt numFmtId="205" formatCode="0.0"/>
    <x:numFmt numFmtId="206" formatCode="yyyy-mm-dd hh:mm:ss"/>
  </x:numFmts>
  <x:fonts count="6">
    <x:font>
      <x:sz val="11"/>
      <x:name val="Carlito"/>
    </x:font>
    <x:font>
      <x:sz val="11"/>
      <x:color rgb="FF172B26"/>
      <x:name val="Arial"/>
    </x:font>
    <x:font>
      <x:b/>
      <x:sz val="16"/>
      <x:color rgb="FF172B26"/>
      <x:name val="Arial"/>
    </x:font>
    <x:font>
      <x:sz val="11"/>
      <x:color rgb="FF536760"/>
      <x:name val="Arial"/>
    </x:font>
    <x:font>
      <x:b/>
      <x:sz val="11"/>
      <x:color rgb="FFFFFFFF"/>
      <x:name val="Arial"/>
    </x:font>
    <x:font>
      <x:b/>
      <x:sz val="11"/>
      <x:color rgb="FF172B26"/>
      <x:name val="Arial"/>
    </x:font>
  </x:fonts>
  <x:fills count="5">
    <x:fill>
      <x:patternFill patternType="none"/>
    </x:fill>
    <x:fill>
      <x:patternFill patternType="gray125"/>
    </x:fill>
    <x:fill>
      <x:patternFill patternType="solid">
        <x:fgColor rgb="FF064E3B"/>
      </x:patternFill>
    </x:fill>
    <x:fill>
      <x:patternFill patternType="solid">
        <x:fgColor rgb="FFFFF3CD"/>
      </x:patternFill>
    </x:fill>
    <x:fill>
      <x:patternFill patternType="solid">
        <x:fgColor rgb="FFF2F7F4"/>
      </x:patternFill>
    </x:fill>
  </x:fills>
  <x:borders count="3">
    <x:border>
      <x:left/>
      <x:right/>
      <x:top/>
      <x:bottom/>
      <x:diagonal/>
    </x:border>
    <x:border>
      <x:left/>
      <x:right/>
      <x:top/>
      <x:bottom style="thin">
        <x:color rgb="FF064E3B"/>
      </x:bottom>
      <x:diagonal/>
    </x:border>
    <x:border>
      <x:left/>
      <x:right/>
      <x:top style="thin">
        <x:color rgb="FFA8BBB2"/>
      </x:top>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0" borderId="2" xfId="0" applyNumberFormat="1" applyFont="1" applyFill="1" applyBorder="1" applyAlignment="1">
      <x:alignment vertical="center" wrapText="1"/>
    </x:xf>
    <x:xf numFmtId="200" fontId="1" fillId="0" borderId="2" xfId="0" applyNumberFormat="1" applyFont="1" applyFill="1" applyBorder="1" applyAlignment="1">
      <x:alignment vertical="center" wrapText="1"/>
    </x:xf>
    <x:xf numFmtId="201" fontId="1" fillId="0" borderId="2" xfId="0" applyNumberFormat="1" applyFont="1" applyFill="1" applyBorder="1" applyAlignment="1">
      <x:alignment vertical="center" wrapText="1"/>
    </x:xf>
    <x:xf numFmtId="200" fontId="1" fillId="3" borderId="2" xfId="0" applyNumberFormat="1" applyFont="1" applyFill="1" applyBorder="1" applyAlignment="1">
      <x:alignment vertical="center" wrapText="1"/>
    </x:xf>
    <x:xf numFmtId="201" fontId="1" fillId="3" borderId="2" xfId="0" applyNumberFormat="1" applyFont="1" applyFill="1" applyBorder="1" applyAlignment="1">
      <x:alignment vertical="center" wrapText="1"/>
    </x:xf>
    <x:xf numFmtId="0" fontId="1" fillId="3" borderId="2"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xf numFmtId="203" fontId="1" fillId="0" borderId="0" xfId="0" applyNumberFormat="1" applyFont="1" applyFill="1" applyBorder="1" applyAlignment="1">
      <x:alignment horizontal="center" vertical="center" wrapText="1"/>
    </x:xf>
    <x:xf numFmtId="204" fontId="1" fillId="3" borderId="0" xfId="0" applyNumberFormat="1" applyFont="1" applyFill="1" applyBorder="1" applyAlignment="1">
      <x:alignment vertical="center" wrapText="1"/>
    </x:xf>
    <x:xf numFmtId="205"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6" fontId="1" fillId="3"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cellXfs>
  <x:cellStyles count="1">
    <x:cellStyle name="Normal" xfId="0"/>
  </x:cellStyles>
  <x:dxfs count="8">
    <x:dxf>
      <x:font>
        <x:b/>
        <x:color rgb="FF991B1B"/>
      </x:font>
      <x:fill>
        <x:patternFill patternType="solid">
          <x:bgColor rgb="FFFDE7E7"/>
        </x:patternFill>
      </x:fill>
    </x:dxf>
    <x:dxf>
      <x:font>
        <x:b/>
        <x:color rgb="FF991B1B"/>
      </x:font>
      <x:fill>
        <x:patternFill patternType="solid">
          <x:bgColor rgb="FFFDE7E7"/>
        </x:patternFill>
      </x:fill>
    </x:dxf>
    <x:dxf>
      <x:font>
        <x:b/>
        <x:color rgb="FF991B1B"/>
      </x:font>
      <x:fill>
        <x:patternFill patternType="solid">
          <x:bgColor rgb="FFFDE7E7"/>
        </x:patternFill>
      </x:fill>
    </x:dxf>
    <x:dxf>
      <x:font>
        <x:b/>
        <x:color rgb="FF991B1B"/>
      </x:font>
      <x:fill>
        <x:patternFill patternType="solid">
          <x:bgColor rgb="FFFDE7E7"/>
        </x:patternFill>
      </x:fill>
    </x:dxf>
    <x:dxf>
      <x:font>
        <x:b/>
        <x:color rgb="FF991B1B"/>
      </x:font>
      <x:fill>
        <x:patternFill patternType="solid">
          <x:bgColor rgb="FFFDE7E7"/>
        </x:patternFill>
      </x:fill>
    </x:dxf>
    <x:dxf>
      <x:font>
        <x:b/>
        <x:color rgb="FF991B1B"/>
      </x:font>
      <x:fill>
        <x:patternFill patternType="solid">
          <x:bgColor rgb="FFFDE7E7"/>
        </x:patternFill>
      </x:fill>
    </x:dxf>
    <x:dxf>
      <x:font>
        <x:b/>
        <x:color rgb="FF991B1B"/>
      </x:font>
      <x:fill>
        <x:patternFill patternType="solid">
          <x:bgColor rgb="FFFDE7E7"/>
        </x:patternFill>
      </x:fill>
    </x:dxf>
    <x:dxf>
      <x:font>
        <x:b/>
        <x:color rgb="FF991B1B"/>
      </x:font>
      <x:fill>
        <x:patternFill patternType="solid">
          <x:bgColor rgb="FFFDE7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3579fab7cf4247" /><Relationship Type="http://schemas.openxmlformats.org/officeDocument/2006/relationships/theme" Target="/xl/theme/theme1.xml" Id="Ra52cf692b313490d" /><Relationship Type="http://schemas.openxmlformats.org/officeDocument/2006/relationships/sharedStrings" Target="/xl/sharedStrings.xml" Id="Rd0677054fcd54035" /><Relationship Type="http://schemas.openxmlformats.org/officeDocument/2006/relationships/worksheet" Target="/xl/worksheets/sheet1.xml" Id="Rc50bf12f9cd047a3" /><Relationship Type="http://schemas.openxmlformats.org/officeDocument/2006/relationships/worksheet" Target="/xl/worksheets/sheet2.xml" Id="R61c9a41da1e54bf6" /><Relationship Type="http://schemas.openxmlformats.org/officeDocument/2006/relationships/worksheet" Target="/xl/worksheets/sheet3.xml" Id="Rb0c4c7e4f5234ca8" /></Relationships>
</file>

<file path=xl/tables/table1.xml><?xml version="1.0" encoding="utf-8"?>
<x:table xmlns:x="http://schemas.openxmlformats.org/spreadsheetml/2006/main" id="2" name="EvaluationRuns" displayName="EvaluationRuns" ref="A19:N34" headerRowCount="1" totalsRowCount="0" totalsRowShown="0">
  <x:tableColumns count="14">
    <x:tableColumn id="1" name="Case"/>
    <x:tableColumn id="2" name="Split"/>
    <x:tableColumn id="3" name="Title"/>
    <x:tableColumn id="4" name="Run status"/>
    <x:tableColumn id="5" name="Run date"/>
    <x:tableColumn id="6" name="Model ID"/>
    <x:tableColumn id="7" name="Successful docs"/>
    <x:tableColumn id="8" name="Failed docs"/>
    <x:tableColumn id="9" name="Elapsed seconds"/>
    <x:tableColumn id="10" name="Checks: raw extraction"/>
    <x:tableColumn id="11" name="Checks: reviewed gold"/>
    <x:tableColumn id="12" name="Assistant verdict"/>
    <x:tableColumn id="13" name="Raw-output file/link"/>
    <x:tableColumn id="14" name="Error / reviewer notes"/>
  </x:tableColumns>
  <x:tableStyleInfo name="TableStyleLight1" showFirstColumn="0" showLastColumn="0" showRowStripes="1" showColumnStripes="0"/>
</x:table>
</file>

<file path=xl/tables/table2.xml><?xml version="1.0" encoding="utf-8"?>
<x:table xmlns:x="http://schemas.openxmlformats.org/spreadsheetml/2006/main" id="1" name="FieldAnswerKey" displayName="FieldAnswerKey" ref="A7:O487" headerRowCount="1" totalsRowCount="0" totalsRowShown="0">
  <x:tableColumns count="15">
    <x:tableColumn id="1" name="Case"/>
    <x:tableColumn id="2" name="Document"/>
    <x:tableColumn id="3" name="Field"/>
    <x:tableColumn id="4" name="Policy"/>
    <x:tableColumn id="5" name="Expected value"/>
    <x:tableColumn id="6" name="Page"/>
    <x:tableColumn id="7" name="Expected evidence quote"/>
    <x:tableColumn id="8" name="Actual value"/>
    <x:tableColumn id="9" name="Actual page"/>
    <x:tableColumn id="10" name="Actual evidence quote"/>
    <x:tableColumn id="11" name="Value verdict"/>
    <x:tableColumn id="12" name="Evidence verdict"/>
    <x:tableColumn id="13" name="Reviewer notes"/>
    <x:tableColumn id="14" name="Upload file"/>
    <x:tableColumn id="15" name="Omission reason / quality"/>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5ca5f3031e645ed" /></Relationships>
</file>

<file path=xl/worksheets/_rels/sheet2.xml.rels>&#65279;<?xml version="1.0" encoding="utf-8"?><Relationships xmlns="http://schemas.openxmlformats.org/package/2006/relationships"><Relationship Type="http://schemas.openxmlformats.org/officeDocument/2006/relationships/table" Target="/xl/tables/table2.xml" Id="Rff4167f628f741ef" /></Relationships>
</file>

<file path=xl/worksheets/sheet1.xml><?xml version="1.0" encoding="utf-8"?>
<x:worksheet xmlns:x="http://schemas.openxmlformats.org/spreadsheetml/2006/main">
  <x:sheetPr>
    <x:tabColor rgb="FF064E3B"/>
  </x:sheetPr>
  <x:sheetViews>
    <x:sheetView showGridLines="0" workbookViewId="0">
      <x:pane xSplit="2" topLeftCell="C1" activePane="topRight" state="frozen"/>
    </x:sheetView>
  </x:sheetViews>
  <x:sheetFormatPr defaultRowHeight="15"/>
  <x:cols>
    <x:col min="1" max="1" width="30" hidden="0" customWidth="1"/>
    <x:col min="2" max="2" width="16" hidden="0" customWidth="1"/>
    <x:col min="3" max="3" width="55" hidden="0" customWidth="1"/>
    <x:col min="4" max="4" width="20" hidden="0" customWidth="1"/>
    <x:col min="5" max="5" width="16" hidden="0" customWidth="1"/>
    <x:col min="6" max="6" width="52" hidden="0" customWidth="1"/>
    <x:col min="7" max="7" width="16" hidden="0" customWidth="1"/>
    <x:col min="8" max="8" width="14" hidden="0" customWidth="1"/>
    <x:col min="9" max="9" width="17" hidden="0" customWidth="1"/>
    <x:col min="10" max="10" width="22" hidden="0" customWidth="1"/>
    <x:col min="11" max="11" width="22" hidden="0" customWidth="1"/>
    <x:col min="12" max="12" width="20" hidden="0" customWidth="1"/>
    <x:col min="13" max="13" width="38" hidden="0" customWidth="1"/>
    <x:col min="14" max="14" width="52" hidden="0" customWidth="1"/>
  </x:cols>
  <x:sheetData>
    <x:row r="1" ht="23" customHeight="1">
      <x:c r="A1" s="2"/>
      <x:c r="B1" s="2"/>
      <x:c r="C1" s="2"/>
      <x:c r="D1" s="2"/>
      <x:c r="E1" s="2"/>
      <x:c r="F1" s="2"/>
      <x:c r="G1" s="2"/>
      <x:c r="H1" s="2"/>
      <x:c r="I1" s="2"/>
      <x:c r="J1" s="2"/>
      <x:c r="K1" s="2"/>
      <x:c r="L1" s="2"/>
      <x:c r="M1" s="2"/>
      <x:c r="N1" s="2"/>
    </x:row>
    <x:row r="2" ht="23" customHeight="1">
      <x:c r="A2" s="3" t="str">
        <x:v>BhuVerify Gemini evaluation</x:v>
      </x:c>
      <x:c r="B2" s="2"/>
      <x:c r="C2" s="2"/>
      <x:c r="D2" s="2"/>
      <x:c r="E2" s="2"/>
      <x:c r="F2" s="2"/>
      <x:c r="G2" s="2"/>
      <x:c r="H2" s="2"/>
      <x:c r="I2" s="2"/>
      <x:c r="J2" s="2"/>
      <x:c r="K2" s="2"/>
      <x:c r="L2" s="2"/>
      <x:c r="M2" s="2"/>
      <x:c r="N2" s="2"/>
    </x:row>
    <x:row r="3" ht="23" customHeight="1">
      <x:c r="A3" s="4"/>
      <x:c r="B3" s="4"/>
      <x:c r="C3" s="4"/>
      <x:c r="D3" s="4"/>
      <x:c r="E3" s="4"/>
      <x:c r="F3" s="4"/>
      <x:c r="G3" s="4"/>
      <x:c r="H3" s="4"/>
      <x:c r="I3" s="4"/>
      <x:c r="J3" s="4"/>
      <x:c r="K3" s="4"/>
      <x:c r="L3" s="4"/>
      <x:c r="M3" s="4"/>
      <x:c r="N3" s="4"/>
    </x:row>
    <x:row r="4" ht="23" customHeight="1">
      <x:c r="A4" s="5" t="str">
        <x:v>Fictional Bihar documents. No Gemini calls have been run. Make a fresh copy of this workbook for each evaluation run.</x:v>
      </x:c>
      <x:c r="B4" s="5"/>
      <x:c r="C4" s="5"/>
      <x:c r="D4" s="5"/>
      <x:c r="E4" s="5"/>
      <x:c r="F4" s="5"/>
      <x:c r="G4" s="5"/>
      <x:c r="H4" s="5"/>
      <x:c r="I4" s="5"/>
      <x:c r="J4" s="5"/>
      <x:c r="K4" s="5"/>
      <x:c r="L4" s="5"/>
      <x:c r="M4" s="5"/>
      <x:c r="N4" s="5"/>
    </x:row>
    <x:row r="5" ht="23" customHeight="1">
      <x:c r="A5" s="5" t="str">
        <x:v>Amber cells accept results. Save raw output before corrections. Do not upload this answer key to Gemini.</x:v>
      </x:c>
      <x:c r="B5" s="5"/>
      <x:c r="C5" s="5"/>
      <x:c r="D5" s="5"/>
      <x:c r="E5" s="5"/>
      <x:c r="F5" s="5"/>
      <x:c r="G5" s="5"/>
      <x:c r="H5" s="5"/>
      <x:c r="I5" s="5"/>
      <x:c r="J5" s="5"/>
      <x:c r="K5" s="5"/>
      <x:c r="L5" s="5"/>
      <x:c r="M5" s="5"/>
      <x:c r="N5" s="5"/>
    </x:row>
    <x:row r="6" ht="38" customHeight="1">
      <x:c r="A6" s="9" t="str">
        <x:v>Measure</x:v>
      </x:c>
      <x:c r="B6" s="9" t="str">
        <x:v>Result</x:v>
      </x:c>
      <x:c r="C6" s="9" t="str">
        <x:v>How to interpret it</x:v>
      </x:c>
      <x:c r="D6" s="2"/>
      <x:c r="E6" s="9" t="str">
        <x:v>Run metadata</x:v>
      </x:c>
      <x:c r="F6" s="9" t="str">
        <x:v>Value</x:v>
      </x:c>
      <x:c r="G6" s="2"/>
      <x:c r="H6" s="2"/>
      <x:c r="I6" s="2"/>
      <x:c r="J6" s="2"/>
      <x:c r="K6" s="2"/>
      <x:c r="L6" s="2"/>
      <x:c r="M6" s="2"/>
      <x:c r="N6" s="2"/>
    </x:row>
    <x:row r="7" ht="32" customHeight="1">
      <x:c r="A7" s="12" t="str">
        <x:v>Extract fields scored</x:v>
      </x:c>
      <x:c r="B7" s="25" t="n">
        <x:f>COUNTIFS('Fields'!$D$8:$D$487,"Extract",'Fields'!$K$8:$K$487,"Correct")+COUNTIFS('Fields'!$D$8:$D$487,"Extract",'Fields'!$K$8:$K$487,"Wrong")+COUNTIFS('Fields'!$D$8:$D$487,"Extract",'Fields'!$K$8:$K$487,"Missing")</x:f>
        <x:v>0</x:v>
      </x:c>
      <x:c r="C7" s="12" t="str">
        <x:v>Correct + wrong + missing values.</x:v>
      </x:c>
      <x:c r="D7" s="2"/>
      <x:c r="E7" s="12" t="str">
        <x:v>Run ID</x:v>
      </x:c>
      <x:c r="F7" s="15"/>
      <x:c r="G7" s="2"/>
      <x:c r="H7" s="2"/>
      <x:c r="I7" s="2"/>
      <x:c r="J7" s="2"/>
      <x:c r="K7" s="2"/>
      <x:c r="L7" s="2"/>
      <x:c r="M7" s="2"/>
      <x:c r="N7" s="2"/>
    </x:row>
    <x:row r="8" ht="32" customHeight="1">
      <x:c r="A8" s="12" t="str">
        <x:v>Value accuracy</x:v>
      </x:c>
      <x:c r="B8" s="26" t="str">
        <x:f>IF(B7=0,"Not run",COUNTIFS('Fields'!$D$8:$D$487,"Extract",'Fields'!$K$8:$K$487,"Correct")/B7)</x:f>
        <x:v>Not run</x:v>
      </x:c>
      <x:c r="C8" s="12" t="str">
        <x:v>Correct values / extract fields scored.</x:v>
      </x:c>
      <x:c r="D8" s="2"/>
      <x:c r="E8" s="12" t="str">
        <x:v>Reviewer</x:v>
      </x:c>
      <x:c r="F8" s="15"/>
      <x:c r="G8" s="2"/>
      <x:c r="H8" s="2"/>
      <x:c r="I8" s="2"/>
      <x:c r="J8" s="2"/>
      <x:c r="K8" s="2"/>
      <x:c r="L8" s="2"/>
      <x:c r="M8" s="2"/>
      <x:c r="N8" s="2"/>
    </x:row>
    <x:row r="9" ht="32" customHeight="1">
      <x:c r="A9" s="12" t="str">
        <x:v>Omit fields scored</x:v>
      </x:c>
      <x:c r="B9" s="25" t="n">
        <x:f>COUNTIFS('Fields'!$D$8:$D$487,"Omit",'Fields'!$K$8:$K$487,"Correctly omitted")+COUNTIFS('Fields'!$D$8:$D$487,"Omit",'Fields'!$K$8:$K$487,"Invented")</x:f>
        <x:v>0</x:v>
      </x:c>
      <x:c r="C9" s="12" t="str">
        <x:v>Correct omissions + invented values.</x:v>
      </x:c>
      <x:c r="D9" s="2"/>
      <x:c r="E9" s="12" t="str">
        <x:v>App commit</x:v>
      </x:c>
      <x:c r="F9" s="15"/>
      <x:c r="G9" s="2"/>
      <x:c r="H9" s="2"/>
      <x:c r="I9" s="2"/>
      <x:c r="J9" s="2"/>
      <x:c r="K9" s="2"/>
      <x:c r="L9" s="2"/>
      <x:c r="M9" s="2"/>
      <x:c r="N9" s="2"/>
    </x:row>
    <x:row r="10" ht="32" customHeight="1">
      <x:c r="A10" s="12" t="str">
        <x:v>Safe abstention rate</x:v>
      </x:c>
      <x:c r="B10" s="26" t="str">
        <x:f>IF(B9=0,"Not run",COUNTIFS('Fields'!$D$8:$D$487,"Omit",'Fields'!$K$8:$K$487,"Correctly omitted")/B9)</x:f>
        <x:v>Not run</x:v>
      </x:c>
      <x:c r="C10" s="12" t="str">
        <x:v>Correct omissions / omit fields scored.</x:v>
      </x:c>
      <x:c r="D10" s="2"/>
      <x:c r="E10" s="12" t="str">
        <x:v>Prompt/config</x:v>
      </x:c>
      <x:c r="F10" s="15"/>
      <x:c r="G10" s="2"/>
      <x:c r="H10" s="2"/>
      <x:c r="I10" s="2"/>
      <x:c r="J10" s="2"/>
      <x:c r="K10" s="2"/>
      <x:c r="L10" s="2"/>
      <x:c r="M10" s="2"/>
      <x:c r="N10" s="2"/>
    </x:row>
    <x:row r="11" ht="32" customHeight="1">
      <x:c r="A11" s="12" t="str">
        <x:v>Evidence fields scored</x:v>
      </x:c>
      <x:c r="B11" s="25" t="n">
        <x:f>COUNTIFS('Fields'!$D$8:$D$487,"Extract",'Fields'!$L$8:$L$487,"Supported")+COUNTIFS('Fields'!$D$8:$D$487,"Extract",'Fields'!$L$8:$L$487,"Unsupported")+COUNTIFS('Fields'!$D$8:$D$487,"Extract",'Fields'!$L$8:$L$487,"Missing")</x:f>
        <x:v>0</x:v>
      </x:c>
      <x:c r="C11" s="12" t="str">
        <x:v>Supported + unsupported + missing evidence.</x:v>
      </x:c>
      <x:c r="D11" s="2"/>
      <x:c r="E11" s="12" t="str">
        <x:v>Dataset version</x:v>
      </x:c>
      <x:c r="F11" s="30" t="str">
        <x:v>bhuverify-gemini-eval/v1</x:v>
      </x:c>
      <x:c r="G11" s="2"/>
      <x:c r="H11" s="2"/>
      <x:c r="I11" s="2"/>
      <x:c r="J11" s="2"/>
      <x:c r="K11" s="2"/>
      <x:c r="L11" s="2"/>
      <x:c r="M11" s="2"/>
      <x:c r="N11" s="2"/>
    </x:row>
    <x:row r="12" ht="32" customHeight="1">
      <x:c r="A12" s="12" t="str">
        <x:v>Evidence support rate</x:v>
      </x:c>
      <x:c r="B12" s="26" t="str">
        <x:f>IF(B11=0,"Not run",COUNTIFS('Fields'!$D$8:$D$487,"Extract",'Fields'!$L$8:$L$487,"Supported")/B11)</x:f>
        <x:v>Not run</x:v>
      </x:c>
      <x:c r="C12" s="12" t="str">
        <x:v>Supported quotes and page numbers / evidence fields scored.</x:v>
      </x:c>
      <x:c r="D12" s="2"/>
      <x:c r="E12" s="12" t="str">
        <x:v>Dataset SHA-256</x:v>
      </x:c>
      <x:c r="F12" s="30" t="str">
        <x:v>4a096ee804436eba3107b75ee8f4943f662369b9fa42f4530a4f25fb11ccf4fa</x:v>
      </x:c>
      <x:c r="G12" s="2"/>
      <x:c r="H12" s="2"/>
      <x:c r="I12" s="2"/>
      <x:c r="J12" s="2"/>
      <x:c r="K12" s="2"/>
      <x:c r="L12" s="2"/>
      <x:c r="M12" s="2"/>
      <x:c r="N12" s="2"/>
    </x:row>
    <x:row r="13" ht="32" customHeight="1">
      <x:c r="A13" s="12" t="str">
        <x:v>Field scoring coverage</x:v>
      </x:c>
      <x:c r="B13" s="26" t="n">
        <x:f>(B7+B9)/480</x:f>
        <x:v>0</x:v>
      </x:c>
      <x:c r="C13" s="12" t="str">
        <x:v>480 total value decisions. Unscored rows are excluded from rates.</x:v>
      </x:c>
      <x:c r="D13" s="2"/>
      <x:c r="E13" s="12" t="str">
        <x:v>Assistant input</x:v>
      </x:c>
      <x:c r="F13" s="15"/>
      <x:c r="G13" s="2"/>
      <x:c r="H13" s="2"/>
      <x:c r="I13" s="2"/>
      <x:c r="J13" s="2"/>
      <x:c r="K13" s="2"/>
      <x:c r="L13" s="2"/>
      <x:c r="M13" s="2"/>
      <x:c r="N13" s="2"/>
    </x:row>
    <x:row r="14" ht="32" customHeight="1">
      <x:c r="A14" s="12" t="str">
        <x:v>Cases marked completed</x:v>
      </x:c>
      <x:c r="B14" s="25" t="n">
        <x:f>COUNTIFS(D20:D34,"Completed")</x:f>
        <x:v>0</x:v>
      </x:c>
      <x:c r="C14" s="12" t="str">
        <x:v>Human status only; check all documents and field rows before completing.</x:v>
      </x:c>
      <x:c r="D14" s="2"/>
      <x:c r="E14" s="12" t="str">
        <x:v>Start time (UTC)</x:v>
      </x:c>
      <x:c r="F14" s="31"/>
      <x:c r="G14" s="2"/>
      <x:c r="H14" s="2"/>
      <x:c r="I14" s="2"/>
      <x:c r="J14" s="2"/>
      <x:c r="K14" s="2"/>
      <x:c r="L14" s="2"/>
      <x:c r="M14" s="2"/>
      <x:c r="N14" s="2"/>
    </x:row>
    <x:row r="15" ht="32" customHeight="1">
      <x:c r="A15" s="12" t="str">
        <x:v>Cases with provider errors</x:v>
      </x:c>
      <x:c r="B15" s="25" t="n">
        <x:f>COUNTIFS(H20:H34,"&gt;0")</x:f>
        <x:v>0</x:v>
      </x:c>
      <x:c r="C15" s="12" t="str">
        <x:v>Log all failed requests. Do not silently discard them.</x:v>
      </x:c>
      <x:c r="D15" s="2"/>
      <x:c r="E15" s="2"/>
      <x:c r="F15" s="2"/>
      <x:c r="G15" s="2"/>
      <x:c r="H15" s="2"/>
      <x:c r="I15" s="2"/>
      <x:c r="J15" s="2"/>
      <x:c r="K15" s="2"/>
      <x:c r="L15" s="2"/>
      <x:c r="M15" s="2"/>
      <x:c r="N15" s="2"/>
    </x:row>
    <x:row r="16" ht="23" customHeight="1">
      <x:c r="A16" s="2"/>
      <x:c r="B16" s="2"/>
      <x:c r="C16" s="2"/>
      <x:c r="D16" s="2"/>
      <x:c r="E16" s="2"/>
      <x:c r="F16" s="2"/>
      <x:c r="G16" s="2"/>
      <x:c r="H16" s="2"/>
      <x:c r="I16" s="2"/>
      <x:c r="J16" s="2"/>
      <x:c r="K16" s="2"/>
      <x:c r="L16" s="2"/>
      <x:c r="M16" s="2"/>
      <x:c r="N16" s="2"/>
    </x:row>
    <x:row r="17" ht="23" customHeight="1">
      <x:c r="A17" s="5" t="str">
        <x:v>Rates cover scored rows only, not overall model accuracy. Keep holdout cases untouched until the development protocol is frozen.</x:v>
      </x:c>
      <x:c r="B17" s="5"/>
      <x:c r="C17" s="5"/>
      <x:c r="D17" s="5"/>
      <x:c r="E17" s="5"/>
      <x:c r="F17" s="5"/>
      <x:c r="G17" s="5"/>
      <x:c r="H17" s="5"/>
      <x:c r="I17" s="5"/>
      <x:c r="J17" s="5"/>
      <x:c r="K17" s="5"/>
      <x:c r="L17" s="5"/>
      <x:c r="M17" s="5"/>
      <x:c r="N17" s="5"/>
    </x:row>
    <x:row r="18" ht="23" customHeight="1">
      <x:c r="A18" s="5" t="str">
        <x:v>Completed requires saved raw responses, all document results, field scoring, both rule checks and the assistant review. Keep provider failures unscored.</x:v>
      </x:c>
      <x:c r="B18" s="5"/>
      <x:c r="C18" s="5"/>
      <x:c r="D18" s="5"/>
      <x:c r="E18" s="5"/>
      <x:c r="F18" s="5"/>
      <x:c r="G18" s="5"/>
      <x:c r="H18" s="5"/>
      <x:c r="I18" s="5"/>
      <x:c r="J18" s="5"/>
      <x:c r="K18" s="5"/>
      <x:c r="L18" s="5"/>
      <x:c r="M18" s="5"/>
      <x:c r="N18" s="5"/>
    </x:row>
    <x:row r="19" ht="38" customHeight="1">
      <x:c r="A19" s="9" t="str">
        <x:v>Case</x:v>
      </x:c>
      <x:c r="B19" s="9" t="str">
        <x:v>Split</x:v>
      </x:c>
      <x:c r="C19" s="9" t="str">
        <x:v>Title</x:v>
      </x:c>
      <x:c r="D19" s="9" t="str">
        <x:v>Run status</x:v>
      </x:c>
      <x:c r="E19" s="9" t="str">
        <x:v>Run date</x:v>
      </x:c>
      <x:c r="F19" s="9" t="str">
        <x:v>Model ID</x:v>
      </x:c>
      <x:c r="G19" s="9" t="str">
        <x:v>Successful docs</x:v>
      </x:c>
      <x:c r="H19" s="9" t="str">
        <x:v>Failed docs</x:v>
      </x:c>
      <x:c r="I19" s="9" t="str">
        <x:v>Elapsed seconds</x:v>
      </x:c>
      <x:c r="J19" s="9" t="str">
        <x:v>Checks: raw extraction</x:v>
      </x:c>
      <x:c r="K19" s="9" t="str">
        <x:v>Checks: reviewed gold</x:v>
      </x:c>
      <x:c r="L19" s="9" t="str">
        <x:v>Assistant verdict</x:v>
      </x:c>
      <x:c r="M19" s="9" t="str">
        <x:v>Raw-output file/link</x:v>
      </x:c>
      <x:c r="N19" s="9" t="str">
        <x:v>Error / reviewer notes</x:v>
      </x:c>
    </x:row>
    <x:row r="20" ht="52" customHeight="1">
      <x:c r="A20" s="12" t="str">
        <x:v>BV01</x:v>
      </x:c>
      <x:c r="B20" s="12" t="str">
        <x:v>development</x:v>
      </x:c>
      <x:c r="C20" s="12" t="str">
        <x:v>Matching English text records</x:v>
      </x:c>
      <x:c r="D20" s="17" t="str">
        <x:v>Not run</x:v>
      </x:c>
      <x:c r="E20" s="27"/>
      <x:c r="F20" s="17"/>
      <x:c r="G20" s="16"/>
      <x:c r="H20" s="16"/>
      <x:c r="I20" s="28"/>
      <x:c r="J20" s="17"/>
      <x:c r="K20" s="17"/>
      <x:c r="L20" s="17"/>
      <x:c r="M20" s="17"/>
      <x:c r="N20" s="17"/>
    </x:row>
    <x:row r="21" ht="52" customHeight="1">
      <x:c r="A21" s="12" t="str">
        <x:v>BV02</x:v>
      </x:c>
      <x:c r="B21" s="12" t="str">
        <x:v>development</x:v>
      </x:c>
      <x:c r="C21" s="12" t="str">
        <x:v>Matching two-page PDF schedules</x:v>
      </x:c>
      <x:c r="D21" s="17" t="str">
        <x:v>Not run</x:v>
      </x:c>
      <x:c r="E21" s="27"/>
      <x:c r="F21" s="17"/>
      <x:c r="G21" s="16"/>
      <x:c r="H21" s="16"/>
      <x:c r="I21" s="28"/>
      <x:c r="J21" s="17"/>
      <x:c r="K21" s="17"/>
      <x:c r="L21" s="17"/>
      <x:c r="M21" s="17"/>
      <x:c r="N21" s="17"/>
    </x:row>
    <x:row r="22" ht="52" customHeight="1">
      <x:c r="A22" s="12" t="str">
        <x:v>BV03</x:v>
      </x:c>
      <x:c r="B22" s="12" t="str">
        <x:v>holdout</x:v>
      </x:c>
      <x:c r="C22" s="12" t="str">
        <x:v>Equivalent supported units</x:v>
      </x:c>
      <x:c r="D22" s="17" t="str">
        <x:v>Not run</x:v>
      </x:c>
      <x:c r="E22" s="27"/>
      <x:c r="F22" s="17"/>
      <x:c r="G22" s="16"/>
      <x:c r="H22" s="16"/>
      <x:c r="I22" s="28"/>
      <x:c r="J22" s="17"/>
      <x:c r="K22" s="17"/>
      <x:c r="L22" s="17"/>
      <x:c r="M22" s="17"/>
      <x:c r="N22" s="17"/>
    </x:row>
    <x:row r="23" ht="52" customHeight="1">
      <x:c r="A23" s="12" t="str">
        <x:v>BV04</x:v>
      </x:c>
      <x:c r="B23" s="12" t="str">
        <x:v>development</x:v>
      </x:c>
      <x:c r="C23" s="12" t="str">
        <x:v>Different plot numbers</x:v>
      </x:c>
      <x:c r="D23" s="17" t="str">
        <x:v>Not run</x:v>
      </x:c>
      <x:c r="E23" s="27"/>
      <x:c r="F23" s="17"/>
      <x:c r="G23" s="16"/>
      <x:c r="H23" s="16"/>
      <x:c r="I23" s="28"/>
      <x:c r="J23" s="17"/>
      <x:c r="K23" s="17"/>
      <x:c r="L23" s="17"/>
      <x:c r="M23" s="17"/>
      <x:c r="N23" s="17"/>
    </x:row>
    <x:row r="24" ht="52" customHeight="1">
      <x:c r="A24" s="12" t="str">
        <x:v>BV05</x:v>
      </x:c>
      <x:c r="B24" s="12" t="str">
        <x:v>development</x:v>
      </x:c>
      <x:c r="C24" s="12" t="str">
        <x:v>Different recorded areas</x:v>
      </x:c>
      <x:c r="D24" s="17" t="str">
        <x:v>Not run</x:v>
      </x:c>
      <x:c r="E24" s="27"/>
      <x:c r="F24" s="17"/>
      <x:c r="G24" s="16"/>
      <x:c r="H24" s="16"/>
      <x:c r="I24" s="28"/>
      <x:c r="J24" s="17"/>
      <x:c r="K24" s="17"/>
      <x:c r="L24" s="17"/>
      <x:c r="M24" s="17"/>
      <x:c r="N24" s="17"/>
    </x:row>
    <x:row r="25" ht="52" customHeight="1">
      <x:c r="A25" s="12" t="str">
        <x:v>BV06</x:v>
      </x:c>
      <x:c r="B25" s="12" t="str">
        <x:v>holdout</x:v>
      </x:c>
      <x:c r="C25" s="12" t="str">
        <x:v>Later record names a different owner</x:v>
      </x:c>
      <x:c r="D25" s="17" t="str">
        <x:v>Not run</x:v>
      </x:c>
      <x:c r="E25" s="27"/>
      <x:c r="F25" s="17"/>
      <x:c r="G25" s="16"/>
      <x:c r="H25" s="16"/>
      <x:c r="I25" s="28"/>
      <x:c r="J25" s="17"/>
      <x:c r="K25" s="17"/>
      <x:c r="L25" s="17"/>
      <x:c r="M25" s="17"/>
      <x:c r="N25" s="17"/>
    </x:row>
    <x:row r="26" ht="52" customHeight="1">
      <x:c r="A26" s="12" t="str">
        <x:v>BV07</x:v>
      </x:c>
      <x:c r="B26" s="12" t="str">
        <x:v>development</x:v>
      </x:c>
      <x:c r="C26" s="12" t="str">
        <x:v>Area unit absent from the deed</x:v>
      </x:c>
      <x:c r="D26" s="17" t="str">
        <x:v>Not run</x:v>
      </x:c>
      <x:c r="E26" s="27"/>
      <x:c r="F26" s="17"/>
      <x:c r="G26" s="16"/>
      <x:c r="H26" s="16"/>
      <x:c r="I26" s="28"/>
      <x:c r="J26" s="17"/>
      <x:c r="K26" s="17"/>
      <x:c r="L26" s="17"/>
      <x:c r="M26" s="17"/>
      <x:c r="N26" s="17"/>
    </x:row>
    <x:row r="27" ht="52" customHeight="1">
      <x:c r="A27" s="12" t="str">
        <x:v>BV08</x:v>
      </x:c>
      <x:c r="B27" s="12" t="str">
        <x:v>development</x:v>
      </x:c>
      <x:c r="C27" s="12" t="str">
        <x:v>Buyer and recorded owner absent</x:v>
      </x:c>
      <x:c r="D27" s="17" t="str">
        <x:v>Not run</x:v>
      </x:c>
      <x:c r="E27" s="27"/>
      <x:c r="F27" s="17"/>
      <x:c r="G27" s="16"/>
      <x:c r="H27" s="16"/>
      <x:c r="I27" s="28"/>
      <x:c r="J27" s="17"/>
      <x:c r="K27" s="17"/>
      <x:c r="L27" s="17"/>
      <x:c r="M27" s="17"/>
      <x:c r="N27" s="17"/>
    </x:row>
    <x:row r="28" ht="52" customHeight="1">
      <x:c r="A28" s="12" t="str">
        <x:v>BV09</x:v>
      </x:c>
      <x:c r="B28" s="12" t="str">
        <x:v>holdout</x:v>
      </x:c>
      <x:c r="C28" s="12" t="str">
        <x:v>No Jamabandi supplied</x:v>
      </x:c>
      <x:c r="D28" s="17" t="str">
        <x:v>Not run</x:v>
      </x:c>
      <x:c r="E28" s="27"/>
      <x:c r="F28" s="17"/>
      <x:c r="G28" s="16"/>
      <x:c r="H28" s="16"/>
      <x:c r="I28" s="28"/>
      <x:c r="J28" s="17"/>
      <x:c r="K28" s="17"/>
      <x:c r="L28" s="17"/>
      <x:c r="M28" s="17"/>
      <x:c r="N28" s="17"/>
    </x:row>
    <x:row r="29" ht="52" customHeight="1">
      <x:c r="A29" s="12" t="str">
        <x:v>BV10</x:v>
      </x:c>
      <x:c r="B29" s="12" t="str">
        <x:v>development</x:v>
      </x:c>
      <x:c r="C29" s="12" t="str">
        <x:v>Hindi with leading-zero identifiers</x:v>
      </x:c>
      <x:c r="D29" s="17" t="str">
        <x:v>Not run</x:v>
      </x:c>
      <x:c r="E29" s="27"/>
      <x:c r="F29" s="17"/>
      <x:c r="G29" s="16"/>
      <x:c r="H29" s="16"/>
      <x:c r="I29" s="28"/>
      <x:c r="J29" s="17"/>
      <x:c r="K29" s="17"/>
      <x:c r="L29" s="17"/>
      <x:c r="M29" s="17"/>
      <x:c r="N29" s="17"/>
    </x:row>
    <x:row r="30" ht="52" customHeight="1">
      <x:c r="A30" s="12" t="str">
        <x:v>BV11</x:v>
      </x:c>
      <x:c r="B30" s="12" t="str">
        <x:v>development</x:v>
      </x:c>
      <x:c r="C30" s="12" t="str">
        <x:v>Hindi katha without a conversion factor</x:v>
      </x:c>
      <x:c r="D30" s="17" t="str">
        <x:v>Not run</x:v>
      </x:c>
      <x:c r="E30" s="27"/>
      <x:c r="F30" s="17"/>
      <x:c r="G30" s="16"/>
      <x:c r="H30" s="16"/>
      <x:c r="I30" s="28"/>
      <x:c r="J30" s="17"/>
      <x:c r="K30" s="17"/>
      <x:c r="L30" s="17"/>
      <x:c r="M30" s="17"/>
      <x:c r="N30" s="17"/>
    </x:row>
    <x:row r="31" ht="52" customHeight="1">
      <x:c r="A31" s="12" t="str">
        <x:v>BV12</x:v>
      </x:c>
      <x:c r="B31" s="12" t="str">
        <x:v>holdout</x:v>
      </x:c>
      <x:c r="C31" s="12" t="str">
        <x:v>Mixed-language historical owner and pending mutation</x:v>
      </x:c>
      <x:c r="D31" s="17" t="str">
        <x:v>Not run</x:v>
      </x:c>
      <x:c r="E31" s="27"/>
      <x:c r="F31" s="17"/>
      <x:c r="G31" s="16"/>
      <x:c r="H31" s="16"/>
      <x:c r="I31" s="28"/>
      <x:c r="J31" s="17"/>
      <x:c r="K31" s="17"/>
      <x:c r="L31" s="17"/>
      <x:c r="M31" s="17"/>
      <x:c r="N31" s="17"/>
    </x:row>
    <x:row r="32" ht="52" customHeight="1">
      <x:c r="A32" s="12" t="str">
        <x:v>BV13</x:v>
      </x:c>
      <x:c r="B32" s="12" t="str">
        <x:v>development</x:v>
      </x:c>
      <x:c r="C32" s="12" t="str">
        <x:v>Mildly blurred but readable JPEGs</x:v>
      </x:c>
      <x:c r="D32" s="17" t="str">
        <x:v>Not run</x:v>
      </x:c>
      <x:c r="E32" s="27"/>
      <x:c r="F32" s="17"/>
      <x:c r="G32" s="16"/>
      <x:c r="H32" s="16"/>
      <x:c r="I32" s="28"/>
      <x:c r="J32" s="17"/>
      <x:c r="K32" s="17"/>
      <x:c r="L32" s="17"/>
      <x:c r="M32" s="17"/>
      <x:c r="N32" s="17"/>
    </x:row>
    <x:row r="33" ht="52" customHeight="1">
      <x:c r="A33" s="12" t="str">
        <x:v>BV14</x:v>
      </x:c>
      <x:c r="B33" s="12" t="str">
        <x:v>development</x:v>
      </x:c>
      <x:c r="C33" s="12" t="str">
        <x:v>Obscured plot number and area</x:v>
      </x:c>
      <x:c r="D33" s="17" t="str">
        <x:v>Not run</x:v>
      </x:c>
      <x:c r="E33" s="27"/>
      <x:c r="F33" s="17"/>
      <x:c r="G33" s="16"/>
      <x:c r="H33" s="16"/>
      <x:c r="I33" s="28"/>
      <x:c r="J33" s="17"/>
      <x:c r="K33" s="17"/>
      <x:c r="L33" s="17"/>
      <x:c r="M33" s="17"/>
      <x:c r="N33" s="17"/>
    </x:row>
    <x:row r="34" ht="52" customHeight="1">
      <x:c r="A34" s="12" t="str">
        <x:v>BV15</x:v>
      </x:c>
      <x:c r="B34" s="12" t="str">
        <x:v>holdout</x:v>
      </x:c>
      <x:c r="C34" s="12" t="str">
        <x:v>Unreadable Jamabandi body</x:v>
      </x:c>
      <x:c r="D34" s="17" t="str">
        <x:v>Not run</x:v>
      </x:c>
      <x:c r="E34" s="27"/>
      <x:c r="F34" s="17"/>
      <x:c r="G34" s="16"/>
      <x:c r="H34" s="16"/>
      <x:c r="I34" s="28"/>
      <x:c r="J34" s="17"/>
      <x:c r="K34" s="17"/>
      <x:c r="L34" s="17"/>
      <x:c r="M34" s="17"/>
      <x:c r="N34" s="17"/>
    </x:row>
  </x:sheetData>
  <x:conditionalFormatting sqref="D20:D34">
    <x:cfRule type="containsText" dxfId="4" priority="1" operator="containsText" text="Provider error"/>
  </x:conditionalFormatting>
  <x:conditionalFormatting sqref="J20:J34">
    <x:cfRule type="containsText" dxfId="5" priority="2" operator="containsText" text="Fail"/>
  </x:conditionalFormatting>
  <x:conditionalFormatting sqref="K20:K34">
    <x:cfRule type="containsText" dxfId="6" priority="3" operator="containsText" text="Fail"/>
  </x:conditionalFormatting>
  <x:conditionalFormatting sqref="L20:L34">
    <x:cfRule type="containsText" dxfId="7" priority="4" operator="containsText" text="Fail"/>
  </x:conditionalFormatting>
  <x:dataValidations count="5">
    <x:dataValidation type="list" sqref="D20:D34">
      <x:formula1>"Not run,In progress,Completed,Provider error,Blocked"</x:formula1>
    </x:dataValidation>
    <x:dataValidation type="list" sqref="J20:J34">
      <x:formula1>"Pass,Fail,Not run,Blocked"</x:formula1>
    </x:dataValidation>
    <x:dataValidation type="list" sqref="K20:K34">
      <x:formula1>"Pass,Fail,Not run,Blocked"</x:formula1>
    </x:dataValidation>
    <x:dataValidation type="list" sqref="L20:L34">
      <x:formula1>"Pass,Fail,Not run,Blocked"</x:formula1>
    </x:dataValidation>
    <x:dataValidation type="list" sqref="F13">
      <x:formula1>"Raw extraction,Corrected gold"</x:formula1>
    </x:dataValidation>
  </x:dataValidations>
  <x:pageMargins left="0.7" right="0.7" top="0.75" bottom="0.75" header="0.3" footer="0.3"/>
  <x:tableParts count="1">
    <x:tablePart xmlns:r="http://schemas.openxmlformats.org/officeDocument/2006/relationships" r:id="Rc5ca5f3031e645ed"/>
  </x:tableParts>
</x:worksheet>
</file>

<file path=xl/worksheets/sheet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 hidden="0" customWidth="1"/>
    <x:col min="2" max="2" width="14" hidden="0" customWidth="1"/>
    <x:col min="3" max="3" width="18" hidden="0" customWidth="1"/>
    <x:col min="4" max="4" width="12" hidden="0" customWidth="1"/>
    <x:col min="5" max="5" width="30" hidden="0" customWidth="1"/>
    <x:col min="6" max="6" width="8" hidden="0" customWidth="1"/>
    <x:col min="7" max="7" width="56" hidden="0" customWidth="1"/>
    <x:col min="8" max="8" width="30" hidden="0" customWidth="1"/>
    <x:col min="9" max="9" width="10" hidden="0" customWidth="1"/>
    <x:col min="10" max="10" width="56" hidden="0" customWidth="1"/>
    <x:col min="11" max="11" width="21" hidden="0" customWidth="1"/>
    <x:col min="12" max="12" width="21" hidden="0" customWidth="1"/>
    <x:col min="13" max="13" width="36" hidden="0" customWidth="1"/>
    <x:col min="14" max="14" width="36" hidden="0" customWidth="1"/>
    <x:col min="15" max="15" width="30" hidden="0" customWidth="1"/>
  </x:cols>
  <x:sheetData>
    <x:row r="1" ht="23" customHeight="1">
      <x:c r="A1" s="2"/>
      <x:c r="B1" s="2"/>
      <x:c r="C1" s="2"/>
      <x:c r="D1" s="2"/>
      <x:c r="E1" s="2"/>
      <x:c r="F1" s="2"/>
      <x:c r="G1" s="2"/>
      <x:c r="H1" s="2"/>
      <x:c r="I1" s="2"/>
      <x:c r="J1" s="2"/>
      <x:c r="K1" s="2"/>
      <x:c r="L1" s="2"/>
      <x:c r="M1" s="2"/>
      <x:c r="N1" s="2"/>
      <x:c r="O1" s="2"/>
    </x:row>
    <x:row r="2" ht="23" customHeight="1">
      <x:c r="A2" s="3" t="str">
        <x:v>Field-by-field answer key</x:v>
      </x:c>
      <x:c r="B2" s="2"/>
      <x:c r="C2" s="2"/>
      <x:c r="D2" s="2"/>
      <x:c r="E2" s="2"/>
      <x:c r="F2" s="2"/>
      <x:c r="G2" s="2"/>
      <x:c r="H2" s="2"/>
      <x:c r="I2" s="2"/>
      <x:c r="J2" s="2"/>
      <x:c r="K2" s="2"/>
      <x:c r="L2" s="2"/>
      <x:c r="M2" s="2"/>
      <x:c r="N2" s="2"/>
      <x:c r="O2" s="2"/>
    </x:row>
    <x:row r="3" ht="23" customHeight="1">
      <x:c r="A3" s="4"/>
      <x:c r="B3" s="4"/>
      <x:c r="C3" s="4"/>
      <x:c r="D3" s="4"/>
      <x:c r="E3" s="4"/>
      <x:c r="F3" s="4"/>
      <x:c r="G3" s="4"/>
      <x:c r="H3" s="4"/>
      <x:c r="I3" s="4"/>
      <x:c r="J3" s="4"/>
      <x:c r="K3" s="4"/>
      <x:c r="L3" s="4"/>
      <x:c r="M3" s="4"/>
      <x:c r="N3" s="4"/>
      <x:c r="O3" s="4"/>
    </x:row>
    <x:row r="4" ht="23" customHeight="1">
      <x:c r="A4" s="5" t="str">
        <x:v>Source: fictional dataset v1, 9 October 2026. 30 documents; 16 fields each; 282 expected values.</x:v>
      </x:c>
      <x:c r="B4" s="5"/>
      <x:c r="C4" s="5"/>
      <x:c r="D4" s="5"/>
      <x:c r="E4" s="5"/>
      <x:c r="F4" s="5"/>
      <x:c r="G4" s="5"/>
      <x:c r="H4" s="5"/>
      <x:c r="I4" s="5"/>
      <x:c r="J4" s="5"/>
      <x:c r="K4" s="5"/>
      <x:c r="L4" s="5"/>
      <x:c r="M4" s="5"/>
      <x:c r="N4" s="5"/>
      <x:c r="O4" s="5"/>
    </x:row>
    <x:row r="5" ht="23" customHeight="1">
      <x:c r="A5" s="5" t="str">
        <x:v>Score only successful document responses. API failures stay unscored. A blank actual value is not automatically a correct omission. Never copy facts from another document.</x:v>
      </x:c>
      <x:c r="B5" s="5"/>
      <x:c r="C5" s="5"/>
      <x:c r="D5" s="5"/>
      <x:c r="E5" s="5"/>
      <x:c r="F5" s="5"/>
      <x:c r="G5" s="5"/>
      <x:c r="H5" s="5"/>
      <x:c r="I5" s="5"/>
      <x:c r="J5" s="5"/>
      <x:c r="K5" s="5"/>
      <x:c r="L5" s="5"/>
      <x:c r="M5" s="5"/>
      <x:c r="N5" s="5"/>
      <x:c r="O5" s="5"/>
    </x:row>
    <x:row r="6" ht="23" customHeight="1">
      <x:c r="A6" s="5" t="str">
        <x:v>Extract: Correct / Wrong / Missing. Omit: Correctly omitted / Invented. Evidence: Supported / Unsupported / Missing. Blank means unscored.</x:v>
      </x:c>
      <x:c r="B6" s="5"/>
      <x:c r="C6" s="5"/>
      <x:c r="D6" s="5"/>
      <x:c r="E6" s="5"/>
      <x:c r="F6" s="5"/>
      <x:c r="G6" s="5"/>
      <x:c r="H6" s="5"/>
      <x:c r="I6" s="5"/>
      <x:c r="J6" s="5"/>
      <x:c r="K6" s="5"/>
      <x:c r="L6" s="5"/>
      <x:c r="M6" s="5"/>
      <x:c r="N6" s="5"/>
      <x:c r="O6" s="5"/>
    </x:row>
    <x:row r="7" ht="38" customHeight="1">
      <x:c r="A7" s="9" t="str">
        <x:v>Case</x:v>
      </x:c>
      <x:c r="B7" s="9" t="str">
        <x:v>Document</x:v>
      </x:c>
      <x:c r="C7" s="9" t="str">
        <x:v>Field</x:v>
      </x:c>
      <x:c r="D7" s="9" t="str">
        <x:v>Policy</x:v>
      </x:c>
      <x:c r="E7" s="9" t="str">
        <x:v>Expected value</x:v>
      </x:c>
      <x:c r="F7" s="9" t="str">
        <x:v>Page</x:v>
      </x:c>
      <x:c r="G7" s="9" t="str">
        <x:v>Expected evidence quote</x:v>
      </x:c>
      <x:c r="H7" s="9" t="str">
        <x:v>Actual value</x:v>
      </x:c>
      <x:c r="I7" s="9" t="str">
        <x:v>Actual page</x:v>
      </x:c>
      <x:c r="J7" s="9" t="str">
        <x:v>Actual evidence quote</x:v>
      </x:c>
      <x:c r="K7" s="9" t="str">
        <x:v>Value verdict</x:v>
      </x:c>
      <x:c r="L7" s="9" t="str">
        <x:v>Evidence verdict</x:v>
      </x:c>
      <x:c r="M7" s="9" t="str">
        <x:v>Reviewer notes</x:v>
      </x:c>
      <x:c r="N7" s="9" t="str">
        <x:v>Upload file</x:v>
      </x:c>
      <x:c r="O7" s="9" t="str">
        <x:v>Omission reason / quality</x:v>
      </x:c>
    </x:row>
    <x:row r="8" ht="60" customHeight="1">
      <x:c r="A8" s="18" t="str">
        <x:v>BV01</x:v>
      </x:c>
      <x:c r="B8" s="18" t="str">
        <x:v>BV01-D1</x:v>
      </x:c>
      <x:c r="C8" s="18" t="str">
        <x:v>owner</x:v>
      </x:c>
      <x:c r="D8" s="18" t="str">
        <x:v>Omit</x:v>
      </x:c>
      <x:c r="E8" s="19"/>
      <x:c r="F8" s="20"/>
      <x:c r="G8" s="18"/>
      <x:c r="H8" s="21"/>
      <x:c r="I8" s="22"/>
      <x:c r="J8" s="23"/>
      <x:c r="K8" s="23"/>
      <x:c r="L8" s="23"/>
      <x:c r="M8" s="23"/>
      <x:c r="N8" s="18" t="str">
        <x:v>BV01-01-sale-deed.txt</x:v>
      </x:c>
      <x:c r="O8" s="18" t="str">
        <x:v>Not stated in this file</x:v>
      </x:c>
    </x:row>
    <x:row r="9" ht="60" customHeight="1">
      <x:c r="A9" s="12" t="str">
        <x:v>BV01</x:v>
      </x:c>
      <x:c r="B9" s="12" t="str">
        <x:v>BV01-D1</x:v>
      </x:c>
      <x:c r="C9" s="12" t="str">
        <x:v>seller</x:v>
      </x:c>
      <x:c r="D9" s="12" t="str">
        <x:v>Extract</x:v>
      </x:c>
      <x:c r="E9" s="13" t="str">
        <x:v>Asha Demo</x:v>
      </x:c>
      <x:c r="F9" s="14" t="n">
        <x:v>1</x:v>
      </x:c>
      <x:c r="G9" s="12" t="str">
        <x:v>For this fictional transfer, the seller is Asha Demo.</x:v>
      </x:c>
      <x:c r="H9" s="15"/>
      <x:c r="I9" s="16"/>
      <x:c r="J9" s="17"/>
      <x:c r="K9" s="17"/>
      <x:c r="L9" s="17"/>
      <x:c r="M9" s="17"/>
      <x:c r="N9" s="12" t="str">
        <x:v>BV01-01-sale-deed.txt</x:v>
      </x:c>
      <x:c r="O9" s="12" t="str">
        <x:v>clear</x:v>
      </x:c>
    </x:row>
    <x:row r="10" ht="60" customHeight="1">
      <x:c r="A10" s="12" t="str">
        <x:v>BV01</x:v>
      </x:c>
      <x:c r="B10" s="12" t="str">
        <x:v>BV01-D1</x:v>
      </x:c>
      <x:c r="C10" s="12" t="str">
        <x:v>buyer</x:v>
      </x:c>
      <x:c r="D10" s="12" t="str">
        <x:v>Extract</x:v>
      </x:c>
      <x:c r="E10" s="13" t="str">
        <x:v>Ravi Demo</x:v>
      </x:c>
      <x:c r="F10" s="14" t="n">
        <x:v>1</x:v>
      </x:c>
      <x:c r="G10" s="12" t="str">
        <x:v>The buyer named in this fictional transfer is Ravi Demo.</x:v>
      </x:c>
      <x:c r="H10" s="15"/>
      <x:c r="I10" s="16"/>
      <x:c r="J10" s="17"/>
      <x:c r="K10" s="17"/>
      <x:c r="L10" s="17"/>
      <x:c r="M10" s="17"/>
      <x:c r="N10" s="12" t="str">
        <x:v>BV01-01-sale-deed.txt</x:v>
      </x:c>
      <x:c r="O10" s="12" t="str">
        <x:v>clear</x:v>
      </x:c>
    </x:row>
    <x:row r="11" ht="60" customHeight="1">
      <x:c r="A11" s="12" t="str">
        <x:v>BV01</x:v>
      </x:c>
      <x:c r="B11" s="12" t="str">
        <x:v>BV01-D1</x:v>
      </x:c>
      <x:c r="C11" s="12" t="str">
        <x:v>district</x:v>
      </x:c>
      <x:c r="D11" s="12" t="str">
        <x:v>Extract</x:v>
      </x:c>
      <x:c r="E11" s="13" t="str">
        <x:v>Patna</x:v>
      </x:c>
      <x:c r="F11" s="14" t="n">
        <x:v>1</x:v>
      </x:c>
      <x:c r="G11" s="12" t="str">
        <x:v>District: Patna</x:v>
      </x:c>
      <x:c r="H11" s="15"/>
      <x:c r="I11" s="16"/>
      <x:c r="J11" s="17"/>
      <x:c r="K11" s="17"/>
      <x:c r="L11" s="17"/>
      <x:c r="M11" s="17"/>
      <x:c r="N11" s="12" t="str">
        <x:v>BV01-01-sale-deed.txt</x:v>
      </x:c>
      <x:c r="O11" s="12" t="str">
        <x:v>clear</x:v>
      </x:c>
    </x:row>
    <x:row r="12" ht="60" customHeight="1">
      <x:c r="A12" s="12" t="str">
        <x:v>BV01</x:v>
      </x:c>
      <x:c r="B12" s="12" t="str">
        <x:v>BV01-D1</x:v>
      </x:c>
      <x:c r="C12" s="12" t="str">
        <x:v>circle</x:v>
      </x:c>
      <x:c r="D12" s="12" t="str">
        <x:v>Extract</x:v>
      </x:c>
      <x:c r="E12" s="13" t="str">
        <x:v>Danapur</x:v>
      </x:c>
      <x:c r="F12" s="14" t="n">
        <x:v>1</x:v>
      </x:c>
      <x:c r="G12" s="12" t="str">
        <x:v>Anchal / circle: Danapur</x:v>
      </x:c>
      <x:c r="H12" s="15"/>
      <x:c r="I12" s="16"/>
      <x:c r="J12" s="17"/>
      <x:c r="K12" s="17"/>
      <x:c r="L12" s="17"/>
      <x:c r="M12" s="17"/>
      <x:c r="N12" s="12" t="str">
        <x:v>BV01-01-sale-deed.txt</x:v>
      </x:c>
      <x:c r="O12" s="12" t="str">
        <x:v>clear</x:v>
      </x:c>
    </x:row>
    <x:row r="13" ht="60" customHeight="1">
      <x:c r="A13" s="12" t="str">
        <x:v>BV01</x:v>
      </x:c>
      <x:c r="B13" s="12" t="str">
        <x:v>BV01-D1</x:v>
      </x:c>
      <x:c r="C13" s="12" t="str">
        <x:v>mauza</x:v>
      </x:c>
      <x:c r="D13" s="12" t="str">
        <x:v>Extract</x:v>
      </x:c>
      <x:c r="E13" s="13" t="str">
        <x:v>Kalpana Demo Mauza</x:v>
      </x:c>
      <x:c r="F13" s="14" t="n">
        <x:v>1</x:v>
      </x:c>
      <x:c r="G13" s="12" t="str">
        <x:v>Mauza (fictional village): Kalpana Demo Mauza</x:v>
      </x:c>
      <x:c r="H13" s="15"/>
      <x:c r="I13" s="16"/>
      <x:c r="J13" s="17"/>
      <x:c r="K13" s="17"/>
      <x:c r="L13" s="17"/>
      <x:c r="M13" s="17"/>
      <x:c r="N13" s="12" t="str">
        <x:v>BV01-01-sale-deed.txt</x:v>
      </x:c>
      <x:c r="O13" s="12" t="str">
        <x:v>clear</x:v>
      </x:c>
    </x:row>
    <x:row r="14" ht="60" customHeight="1">
      <x:c r="A14" s="12" t="str">
        <x:v>BV01</x:v>
      </x:c>
      <x:c r="B14" s="12" t="str">
        <x:v>BV01-D1</x:v>
      </x:c>
      <x:c r="C14" s="12" t="str">
        <x:v>thana</x:v>
      </x:c>
      <x:c r="D14" s="12" t="str">
        <x:v>Omit</x:v>
      </x:c>
      <x:c r="E14" s="13"/>
      <x:c r="F14" s="14"/>
      <x:c r="G14" s="12"/>
      <x:c r="H14" s="15"/>
      <x:c r="I14" s="16"/>
      <x:c r="J14" s="17"/>
      <x:c r="K14" s="17"/>
      <x:c r="L14" s="17"/>
      <x:c r="M14" s="17"/>
      <x:c r="N14" s="12" t="str">
        <x:v>BV01-01-sale-deed.txt</x:v>
      </x:c>
      <x:c r="O14" s="12" t="str">
        <x:v>Not stated in this file</x:v>
      </x:c>
    </x:row>
    <x:row r="15" ht="60" customHeight="1">
      <x:c r="A15" s="12" t="str">
        <x:v>BV01</x:v>
      </x:c>
      <x:c r="B15" s="12" t="str">
        <x:v>BV01-D1</x:v>
      </x:c>
      <x:c r="C15" s="12" t="str">
        <x:v>khata</x:v>
      </x:c>
      <x:c r="D15" s="12" t="str">
        <x:v>Extract</x:v>
      </x:c>
      <x:c r="E15" s="24" t="str">
        <x:v>0018</x:v>
      </x:c>
      <x:c r="F15" s="14" t="n">
        <x:v>1</x:v>
      </x:c>
      <x:c r="G15" s="12" t="str">
        <x:v>Khata: 0018</x:v>
      </x:c>
      <x:c r="H15" s="15"/>
      <x:c r="I15" s="16"/>
      <x:c r="J15" s="17"/>
      <x:c r="K15" s="17"/>
      <x:c r="L15" s="17"/>
      <x:c r="M15" s="17"/>
      <x:c r="N15" s="12" t="str">
        <x:v>BV01-01-sale-deed.txt</x:v>
      </x:c>
      <x:c r="O15" s="12" t="str">
        <x:v>clear</x:v>
      </x:c>
    </x:row>
    <x:row r="16" ht="60" customHeight="1">
      <x:c r="A16" s="12" t="str">
        <x:v>BV01</x:v>
      </x:c>
      <x:c r="B16" s="12" t="str">
        <x:v>BV01-D1</x:v>
      </x:c>
      <x:c r="C16" s="12" t="str">
        <x:v>khesra</x:v>
      </x:c>
      <x:c r="D16" s="12" t="str">
        <x:v>Extract</x:v>
      </x:c>
      <x:c r="E16" s="24" t="str">
        <x:v>0042</x:v>
      </x:c>
      <x:c r="F16" s="14" t="n">
        <x:v>1</x:v>
      </x:c>
      <x:c r="G16" s="12" t="str">
        <x:v>Khesra: 0042</x:v>
      </x:c>
      <x:c r="H16" s="15"/>
      <x:c r="I16" s="16"/>
      <x:c r="J16" s="17"/>
      <x:c r="K16" s="17"/>
      <x:c r="L16" s="17"/>
      <x:c r="M16" s="17"/>
      <x:c r="N16" s="12" t="str">
        <x:v>BV01-01-sale-deed.txt</x:v>
      </x:c>
      <x:c r="O16" s="12" t="str">
        <x:v>clear</x:v>
      </x:c>
    </x:row>
    <x:row r="17" ht="60" customHeight="1">
      <x:c r="A17" s="12" t="str">
        <x:v>BV01</x:v>
      </x:c>
      <x:c r="B17" s="12" t="str">
        <x:v>BV01-D1</x:v>
      </x:c>
      <x:c r="C17" s="12" t="str">
        <x:v>jamabandi</x:v>
      </x:c>
      <x:c r="D17" s="12" t="str">
        <x:v>Omit</x:v>
      </x:c>
      <x:c r="E17" s="13"/>
      <x:c r="F17" s="14"/>
      <x:c r="G17" s="12"/>
      <x:c r="H17" s="15"/>
      <x:c r="I17" s="16"/>
      <x:c r="J17" s="17"/>
      <x:c r="K17" s="17"/>
      <x:c r="L17" s="17"/>
      <x:c r="M17" s="17"/>
      <x:c r="N17" s="12" t="str">
        <x:v>BV01-01-sale-deed.txt</x:v>
      </x:c>
      <x:c r="O17" s="12" t="str">
        <x:v>Not stated in this file</x:v>
      </x:c>
    </x:row>
    <x:row r="18" ht="60" customHeight="1">
      <x:c r="A18" s="12" t="str">
        <x:v>BV01</x:v>
      </x:c>
      <x:c r="B18" s="12" t="str">
        <x:v>BV01-D1</x:v>
      </x:c>
      <x:c r="C18" s="12" t="str">
        <x:v>area</x:v>
      </x:c>
      <x:c r="D18" s="12" t="str">
        <x:v>Extract</x:v>
      </x:c>
      <x:c r="E18" s="13" t="str">
        <x:v>8</x:v>
      </x:c>
      <x:c r="F18" s="14" t="n">
        <x:v>1</x:v>
      </x:c>
      <x:c r="G18" s="12" t="str">
        <x:v>The transferred area is 8.</x:v>
      </x:c>
      <x:c r="H18" s="15"/>
      <x:c r="I18" s="16"/>
      <x:c r="J18" s="17"/>
      <x:c r="K18" s="17"/>
      <x:c r="L18" s="17"/>
      <x:c r="M18" s="17"/>
      <x:c r="N18" s="12" t="str">
        <x:v>BV01-01-sale-deed.txt</x:v>
      </x:c>
      <x:c r="O18" s="12" t="str">
        <x:v>clear</x:v>
      </x:c>
    </x:row>
    <x:row r="19" ht="60" customHeight="1">
      <x:c r="A19" s="12" t="str">
        <x:v>BV01</x:v>
      </x:c>
      <x:c r="B19" s="12" t="str">
        <x:v>BV01-D1</x:v>
      </x:c>
      <x:c r="C19" s="12" t="str">
        <x:v>areaUnit</x:v>
      </x:c>
      <x:c r="D19" s="12" t="str">
        <x:v>Extract</x:v>
      </x:c>
      <x:c r="E19" s="13" t="str">
        <x:v>decimal</x:v>
      </x:c>
      <x:c r="F19" s="14" t="n">
        <x:v>1</x:v>
      </x:c>
      <x:c r="G19" s="12" t="str">
        <x:v>The area unit written in this excerpt is decimal.</x:v>
      </x:c>
      <x:c r="H19" s="15"/>
      <x:c r="I19" s="16"/>
      <x:c r="J19" s="17"/>
      <x:c r="K19" s="17"/>
      <x:c r="L19" s="17"/>
      <x:c r="M19" s="17"/>
      <x:c r="N19" s="12" t="str">
        <x:v>BV01-01-sale-deed.txt</x:v>
      </x:c>
      <x:c r="O19" s="12" t="str">
        <x:v>clear</x:v>
      </x:c>
    </x:row>
    <x:row r="20" ht="60" customHeight="1">
      <x:c r="A20" s="12" t="str">
        <x:v>BV01</x:v>
      </x:c>
      <x:c r="B20" s="12" t="str">
        <x:v>BV01-D1</x:v>
      </x:c>
      <x:c r="C20" s="12" t="str">
        <x:v>date</x:v>
      </x:c>
      <x:c r="D20" s="12" t="str">
        <x:v>Extract</x:v>
      </x:c>
      <x:c r="E20" s="13" t="str">
        <x:v>2024-02-12</x:v>
      </x:c>
      <x:c r="F20" s="14" t="n">
        <x:v>1</x:v>
      </x:c>
      <x:c r="G20" s="12" t="str">
        <x:v>The fictional transfer date is 2024-02-12.</x:v>
      </x:c>
      <x:c r="H20" s="15"/>
      <x:c r="I20" s="16"/>
      <x:c r="J20" s="17"/>
      <x:c r="K20" s="17"/>
      <x:c r="L20" s="17"/>
      <x:c r="M20" s="17"/>
      <x:c r="N20" s="12" t="str">
        <x:v>BV01-01-sale-deed.txt</x:v>
      </x:c>
      <x:c r="O20" s="12" t="str">
        <x:v>clear</x:v>
      </x:c>
    </x:row>
    <x:row r="21" ht="60" customHeight="1">
      <x:c r="A21" s="12" t="str">
        <x:v>BV01</x:v>
      </x:c>
      <x:c r="B21" s="12" t="str">
        <x:v>BV01-D1</x:v>
      </x:c>
      <x:c r="C21" s="12" t="str">
        <x:v>mutationStatus</x:v>
      </x:c>
      <x:c r="D21" s="12" t="str">
        <x:v>Omit</x:v>
      </x:c>
      <x:c r="E21" s="13"/>
      <x:c r="F21" s="14"/>
      <x:c r="G21" s="12"/>
      <x:c r="H21" s="15"/>
      <x:c r="I21" s="16"/>
      <x:c r="J21" s="17"/>
      <x:c r="K21" s="17"/>
      <x:c r="L21" s="17"/>
      <x:c r="M21" s="17"/>
      <x:c r="N21" s="12" t="str">
        <x:v>BV01-01-sale-deed.txt</x:v>
      </x:c>
      <x:c r="O21" s="12" t="str">
        <x:v>Not stated in this file</x:v>
      </x:c>
    </x:row>
    <x:row r="22" ht="60" customHeight="1">
      <x:c r="A22" s="12" t="str">
        <x:v>BV01</x:v>
      </x:c>
      <x:c r="B22" s="12" t="str">
        <x:v>BV01-D1</x:v>
      </x:c>
      <x:c r="C22" s="12" t="str">
        <x:v>mortgage</x:v>
      </x:c>
      <x:c r="D22" s="12" t="str">
        <x:v>Omit</x:v>
      </x:c>
      <x:c r="E22" s="13"/>
      <x:c r="F22" s="14"/>
      <x:c r="G22" s="12"/>
      <x:c r="H22" s="15"/>
      <x:c r="I22" s="16"/>
      <x:c r="J22" s="17"/>
      <x:c r="K22" s="17"/>
      <x:c r="L22" s="17"/>
      <x:c r="M22" s="17"/>
      <x:c r="N22" s="12" t="str">
        <x:v>BV01-01-sale-deed.txt</x:v>
      </x:c>
      <x:c r="O22" s="12" t="str">
        <x:v>Not stated in this file</x:v>
      </x:c>
    </x:row>
    <x:row r="23" ht="60" customHeight="1">
      <x:c r="A23" s="12" t="str">
        <x:v>BV01</x:v>
      </x:c>
      <x:c r="B23" s="12" t="str">
        <x:v>BV01-D1</x:v>
      </x:c>
      <x:c r="C23" s="12" t="str">
        <x:v>boundaries</x:v>
      </x:c>
      <x:c r="D23" s="12" t="str">
        <x:v>Omit</x:v>
      </x:c>
      <x:c r="E23" s="13"/>
      <x:c r="F23" s="14"/>
      <x:c r="G23" s="12"/>
      <x:c r="H23" s="15"/>
      <x:c r="I23" s="16"/>
      <x:c r="J23" s="17"/>
      <x:c r="K23" s="17"/>
      <x:c r="L23" s="17"/>
      <x:c r="M23" s="17"/>
      <x:c r="N23" s="12" t="str">
        <x:v>BV01-01-sale-deed.txt</x:v>
      </x:c>
      <x:c r="O23" s="12" t="str">
        <x:v>Not stated in this file</x:v>
      </x:c>
    </x:row>
    <x:row r="24" ht="60" customHeight="1">
      <x:c r="A24" s="18" t="str">
        <x:v>BV01</x:v>
      </x:c>
      <x:c r="B24" s="18" t="str">
        <x:v>BV01-D2</x:v>
      </x:c>
      <x:c r="C24" s="18" t="str">
        <x:v>owner</x:v>
      </x:c>
      <x:c r="D24" s="18" t="str">
        <x:v>Extract</x:v>
      </x:c>
      <x:c r="E24" s="19" t="str">
        <x:v>Ravi Demo</x:v>
      </x:c>
      <x:c r="F24" s="20" t="n">
        <x:v>1</x:v>
      </x:c>
      <x:c r="G24" s="18" t="str">
        <x:v>This fictional record names Ravi Demo as the recorded owner.</x:v>
      </x:c>
      <x:c r="H24" s="21"/>
      <x:c r="I24" s="22"/>
      <x:c r="J24" s="23"/>
      <x:c r="K24" s="23"/>
      <x:c r="L24" s="23"/>
      <x:c r="M24" s="23"/>
      <x:c r="N24" s="18" t="str">
        <x:v>BV01-02-jamabandi.txt</x:v>
      </x:c>
      <x:c r="O24" s="18" t="str">
        <x:v>clear</x:v>
      </x:c>
    </x:row>
    <x:row r="25" ht="60" customHeight="1">
      <x:c r="A25" s="12" t="str">
        <x:v>BV01</x:v>
      </x:c>
      <x:c r="B25" s="12" t="str">
        <x:v>BV01-D2</x:v>
      </x:c>
      <x:c r="C25" s="12" t="str">
        <x:v>seller</x:v>
      </x:c>
      <x:c r="D25" s="12" t="str">
        <x:v>Omit</x:v>
      </x:c>
      <x:c r="E25" s="13"/>
      <x:c r="F25" s="14"/>
      <x:c r="G25" s="12"/>
      <x:c r="H25" s="15"/>
      <x:c r="I25" s="16"/>
      <x:c r="J25" s="17"/>
      <x:c r="K25" s="17"/>
      <x:c r="L25" s="17"/>
      <x:c r="M25" s="17"/>
      <x:c r="N25" s="12" t="str">
        <x:v>BV01-02-jamabandi.txt</x:v>
      </x:c>
      <x:c r="O25" s="12" t="str">
        <x:v>Not stated in this file</x:v>
      </x:c>
    </x:row>
    <x:row r="26" ht="60" customHeight="1">
      <x:c r="A26" s="12" t="str">
        <x:v>BV01</x:v>
      </x:c>
      <x:c r="B26" s="12" t="str">
        <x:v>BV01-D2</x:v>
      </x:c>
      <x:c r="C26" s="12" t="str">
        <x:v>buyer</x:v>
      </x:c>
      <x:c r="D26" s="12" t="str">
        <x:v>Omit</x:v>
      </x:c>
      <x:c r="E26" s="13"/>
      <x:c r="F26" s="14"/>
      <x:c r="G26" s="12"/>
      <x:c r="H26" s="15"/>
      <x:c r="I26" s="16"/>
      <x:c r="J26" s="17"/>
      <x:c r="K26" s="17"/>
      <x:c r="L26" s="17"/>
      <x:c r="M26" s="17"/>
      <x:c r="N26" s="12" t="str">
        <x:v>BV01-02-jamabandi.txt</x:v>
      </x:c>
      <x:c r="O26" s="12" t="str">
        <x:v>Not stated in this file</x:v>
      </x:c>
    </x:row>
    <x:row r="27" ht="60" customHeight="1">
      <x:c r="A27" s="12" t="str">
        <x:v>BV01</x:v>
      </x:c>
      <x:c r="B27" s="12" t="str">
        <x:v>BV01-D2</x:v>
      </x:c>
      <x:c r="C27" s="12" t="str">
        <x:v>district</x:v>
      </x:c>
      <x:c r="D27" s="12" t="str">
        <x:v>Extract</x:v>
      </x:c>
      <x:c r="E27" s="13" t="str">
        <x:v>Patna</x:v>
      </x:c>
      <x:c r="F27" s="14" t="n">
        <x:v>1</x:v>
      </x:c>
      <x:c r="G27" s="12" t="str">
        <x:v>District: Patna</x:v>
      </x:c>
      <x:c r="H27" s="15"/>
      <x:c r="I27" s="16"/>
      <x:c r="J27" s="17"/>
      <x:c r="K27" s="17"/>
      <x:c r="L27" s="17"/>
      <x:c r="M27" s="17"/>
      <x:c r="N27" s="12" t="str">
        <x:v>BV01-02-jamabandi.txt</x:v>
      </x:c>
      <x:c r="O27" s="12" t="str">
        <x:v>clear</x:v>
      </x:c>
    </x:row>
    <x:row r="28" ht="60" customHeight="1">
      <x:c r="A28" s="12" t="str">
        <x:v>BV01</x:v>
      </x:c>
      <x:c r="B28" s="12" t="str">
        <x:v>BV01-D2</x:v>
      </x:c>
      <x:c r="C28" s="12" t="str">
        <x:v>circle</x:v>
      </x:c>
      <x:c r="D28" s="12" t="str">
        <x:v>Extract</x:v>
      </x:c>
      <x:c r="E28" s="13" t="str">
        <x:v>Danapur</x:v>
      </x:c>
      <x:c r="F28" s="14" t="n">
        <x:v>1</x:v>
      </x:c>
      <x:c r="G28" s="12" t="str">
        <x:v>Anchal / circle: Danapur</x:v>
      </x:c>
      <x:c r="H28" s="15"/>
      <x:c r="I28" s="16"/>
      <x:c r="J28" s="17"/>
      <x:c r="K28" s="17"/>
      <x:c r="L28" s="17"/>
      <x:c r="M28" s="17"/>
      <x:c r="N28" s="12" t="str">
        <x:v>BV01-02-jamabandi.txt</x:v>
      </x:c>
      <x:c r="O28" s="12" t="str">
        <x:v>clear</x:v>
      </x:c>
    </x:row>
    <x:row r="29" ht="60" customHeight="1">
      <x:c r="A29" s="12" t="str">
        <x:v>BV01</x:v>
      </x:c>
      <x:c r="B29" s="12" t="str">
        <x:v>BV01-D2</x:v>
      </x:c>
      <x:c r="C29" s="12" t="str">
        <x:v>mauza</x:v>
      </x:c>
      <x:c r="D29" s="12" t="str">
        <x:v>Extract</x:v>
      </x:c>
      <x:c r="E29" s="13" t="str">
        <x:v>Kalpana Demo Mauza</x:v>
      </x:c>
      <x:c r="F29" s="14" t="n">
        <x:v>1</x:v>
      </x:c>
      <x:c r="G29" s="12" t="str">
        <x:v>Mauza (fictional village): Kalpana Demo Mauza</x:v>
      </x:c>
      <x:c r="H29" s="15"/>
      <x:c r="I29" s="16"/>
      <x:c r="J29" s="17"/>
      <x:c r="K29" s="17"/>
      <x:c r="L29" s="17"/>
      <x:c r="M29" s="17"/>
      <x:c r="N29" s="12" t="str">
        <x:v>BV01-02-jamabandi.txt</x:v>
      </x:c>
      <x:c r="O29" s="12" t="str">
        <x:v>clear</x:v>
      </x:c>
    </x:row>
    <x:row r="30" ht="60" customHeight="1">
      <x:c r="A30" s="12" t="str">
        <x:v>BV01</x:v>
      </x:c>
      <x:c r="B30" s="12" t="str">
        <x:v>BV01-D2</x:v>
      </x:c>
      <x:c r="C30" s="12" t="str">
        <x:v>thana</x:v>
      </x:c>
      <x:c r="D30" s="12" t="str">
        <x:v>Omit</x:v>
      </x:c>
      <x:c r="E30" s="13"/>
      <x:c r="F30" s="14"/>
      <x:c r="G30" s="12"/>
      <x:c r="H30" s="15"/>
      <x:c r="I30" s="16"/>
      <x:c r="J30" s="17"/>
      <x:c r="K30" s="17"/>
      <x:c r="L30" s="17"/>
      <x:c r="M30" s="17"/>
      <x:c r="N30" s="12" t="str">
        <x:v>BV01-02-jamabandi.txt</x:v>
      </x:c>
      <x:c r="O30" s="12" t="str">
        <x:v>Not stated in this file</x:v>
      </x:c>
    </x:row>
    <x:row r="31" ht="60" customHeight="1">
      <x:c r="A31" s="12" t="str">
        <x:v>BV01</x:v>
      </x:c>
      <x:c r="B31" s="12" t="str">
        <x:v>BV01-D2</x:v>
      </x:c>
      <x:c r="C31" s="12" t="str">
        <x:v>khata</x:v>
      </x:c>
      <x:c r="D31" s="12" t="str">
        <x:v>Extract</x:v>
      </x:c>
      <x:c r="E31" s="24" t="str">
        <x:v>0018</x:v>
      </x:c>
      <x:c r="F31" s="14" t="n">
        <x:v>1</x:v>
      </x:c>
      <x:c r="G31" s="12" t="str">
        <x:v>Khata: 0018</x:v>
      </x:c>
      <x:c r="H31" s="15"/>
      <x:c r="I31" s="16"/>
      <x:c r="J31" s="17"/>
      <x:c r="K31" s="17"/>
      <x:c r="L31" s="17"/>
      <x:c r="M31" s="17"/>
      <x:c r="N31" s="12" t="str">
        <x:v>BV01-02-jamabandi.txt</x:v>
      </x:c>
      <x:c r="O31" s="12" t="str">
        <x:v>clear</x:v>
      </x:c>
    </x:row>
    <x:row r="32" ht="60" customHeight="1">
      <x:c r="A32" s="12" t="str">
        <x:v>BV01</x:v>
      </x:c>
      <x:c r="B32" s="12" t="str">
        <x:v>BV01-D2</x:v>
      </x:c>
      <x:c r="C32" s="12" t="str">
        <x:v>khesra</x:v>
      </x:c>
      <x:c r="D32" s="12" t="str">
        <x:v>Extract</x:v>
      </x:c>
      <x:c r="E32" s="24" t="str">
        <x:v>0042</x:v>
      </x:c>
      <x:c r="F32" s="14" t="n">
        <x:v>1</x:v>
      </x:c>
      <x:c r="G32" s="12" t="str">
        <x:v>Khesra: 0042</x:v>
      </x:c>
      <x:c r="H32" s="15"/>
      <x:c r="I32" s="16"/>
      <x:c r="J32" s="17"/>
      <x:c r="K32" s="17"/>
      <x:c r="L32" s="17"/>
      <x:c r="M32" s="17"/>
      <x:c r="N32" s="12" t="str">
        <x:v>BV01-02-jamabandi.txt</x:v>
      </x:c>
      <x:c r="O32" s="12" t="str">
        <x:v>clear</x:v>
      </x:c>
    </x:row>
    <x:row r="33" ht="60" customHeight="1">
      <x:c r="A33" s="12" t="str">
        <x:v>BV01</x:v>
      </x:c>
      <x:c r="B33" s="12" t="str">
        <x:v>BV01-D2</x:v>
      </x:c>
      <x:c r="C33" s="12" t="str">
        <x:v>jamabandi</x:v>
      </x:c>
      <x:c r="D33" s="12" t="str">
        <x:v>Extract</x:v>
      </x:c>
      <x:c r="E33" s="13" t="str">
        <x:v>DEMO-JB-101</x:v>
      </x:c>
      <x:c r="F33" s="14" t="n">
        <x:v>1</x:v>
      </x:c>
      <x:c r="G33" s="12" t="str">
        <x:v>Jamabandi reference: DEMO-JB-101</x:v>
      </x:c>
      <x:c r="H33" s="15"/>
      <x:c r="I33" s="16"/>
      <x:c r="J33" s="17"/>
      <x:c r="K33" s="17"/>
      <x:c r="L33" s="17"/>
      <x:c r="M33" s="17"/>
      <x:c r="N33" s="12" t="str">
        <x:v>BV01-02-jamabandi.txt</x:v>
      </x:c>
      <x:c r="O33" s="12" t="str">
        <x:v>clear</x:v>
      </x:c>
    </x:row>
    <x:row r="34" ht="60" customHeight="1">
      <x:c r="A34" s="12" t="str">
        <x:v>BV01</x:v>
      </x:c>
      <x:c r="B34" s="12" t="str">
        <x:v>BV01-D2</x:v>
      </x:c>
      <x:c r="C34" s="12" t="str">
        <x:v>area</x:v>
      </x:c>
      <x:c r="D34" s="12" t="str">
        <x:v>Extract</x:v>
      </x:c>
      <x:c r="E34" s="13" t="str">
        <x:v>8</x:v>
      </x:c>
      <x:c r="F34" s="14" t="n">
        <x:v>1</x:v>
      </x:c>
      <x:c r="G34" s="12" t="str">
        <x:v>The recorded area is 8.</x:v>
      </x:c>
      <x:c r="H34" s="15"/>
      <x:c r="I34" s="16"/>
      <x:c r="J34" s="17"/>
      <x:c r="K34" s="17"/>
      <x:c r="L34" s="17"/>
      <x:c r="M34" s="17"/>
      <x:c r="N34" s="12" t="str">
        <x:v>BV01-02-jamabandi.txt</x:v>
      </x:c>
      <x:c r="O34" s="12" t="str">
        <x:v>clear</x:v>
      </x:c>
    </x:row>
    <x:row r="35" ht="60" customHeight="1">
      <x:c r="A35" s="12" t="str">
        <x:v>BV01</x:v>
      </x:c>
      <x:c r="B35" s="12" t="str">
        <x:v>BV01-D2</x:v>
      </x:c>
      <x:c r="C35" s="12" t="str">
        <x:v>areaUnit</x:v>
      </x:c>
      <x:c r="D35" s="12" t="str">
        <x:v>Extract</x:v>
      </x:c>
      <x:c r="E35" s="13" t="str">
        <x:v>decimal</x:v>
      </x:c>
      <x:c r="F35" s="14" t="n">
        <x:v>1</x:v>
      </x:c>
      <x:c r="G35" s="12" t="str">
        <x:v>The area unit written in this excerpt is decimal.</x:v>
      </x:c>
      <x:c r="H35" s="15"/>
      <x:c r="I35" s="16"/>
      <x:c r="J35" s="17"/>
      <x:c r="K35" s="17"/>
      <x:c r="L35" s="17"/>
      <x:c r="M35" s="17"/>
      <x:c r="N35" s="12" t="str">
        <x:v>BV01-02-jamabandi.txt</x:v>
      </x:c>
      <x:c r="O35" s="12" t="str">
        <x:v>clear</x:v>
      </x:c>
    </x:row>
    <x:row r="36" ht="60" customHeight="1">
      <x:c r="A36" s="12" t="str">
        <x:v>BV01</x:v>
      </x:c>
      <x:c r="B36" s="12" t="str">
        <x:v>BV01-D2</x:v>
      </x:c>
      <x:c r="C36" s="12" t="str">
        <x:v>date</x:v>
      </x:c>
      <x:c r="D36" s="12" t="str">
        <x:v>Extract</x:v>
      </x:c>
      <x:c r="E36" s="13" t="str">
        <x:v>2024-06-15</x:v>
      </x:c>
      <x:c r="F36" s="14" t="n">
        <x:v>1</x:v>
      </x:c>
      <x:c r="G36" s="12" t="str">
        <x:v>The fictional record date is 2024-06-15.</x:v>
      </x:c>
      <x:c r="H36" s="15"/>
      <x:c r="I36" s="16"/>
      <x:c r="J36" s="17"/>
      <x:c r="K36" s="17"/>
      <x:c r="L36" s="17"/>
      <x:c r="M36" s="17"/>
      <x:c r="N36" s="12" t="str">
        <x:v>BV01-02-jamabandi.txt</x:v>
      </x:c>
      <x:c r="O36" s="12" t="str">
        <x:v>clear</x:v>
      </x:c>
    </x:row>
    <x:row r="37" ht="60" customHeight="1">
      <x:c r="A37" s="12" t="str">
        <x:v>BV01</x:v>
      </x:c>
      <x:c r="B37" s="12" t="str">
        <x:v>BV01-D2</x:v>
      </x:c>
      <x:c r="C37" s="12" t="str">
        <x:v>mutationStatus</x:v>
      </x:c>
      <x:c r="D37" s="12" t="str">
        <x:v>Omit</x:v>
      </x:c>
      <x:c r="E37" s="13"/>
      <x:c r="F37" s="14"/>
      <x:c r="G37" s="12"/>
      <x:c r="H37" s="15"/>
      <x:c r="I37" s="16"/>
      <x:c r="J37" s="17"/>
      <x:c r="K37" s="17"/>
      <x:c r="L37" s="17"/>
      <x:c r="M37" s="17"/>
      <x:c r="N37" s="12" t="str">
        <x:v>BV01-02-jamabandi.txt</x:v>
      </x:c>
      <x:c r="O37" s="12" t="str">
        <x:v>Not stated in this file</x:v>
      </x:c>
    </x:row>
    <x:row r="38" ht="60" customHeight="1">
      <x:c r="A38" s="12" t="str">
        <x:v>BV01</x:v>
      </x:c>
      <x:c r="B38" s="12" t="str">
        <x:v>BV01-D2</x:v>
      </x:c>
      <x:c r="C38" s="12" t="str">
        <x:v>mortgage</x:v>
      </x:c>
      <x:c r="D38" s="12" t="str">
        <x:v>Omit</x:v>
      </x:c>
      <x:c r="E38" s="13"/>
      <x:c r="F38" s="14"/>
      <x:c r="G38" s="12"/>
      <x:c r="H38" s="15"/>
      <x:c r="I38" s="16"/>
      <x:c r="J38" s="17"/>
      <x:c r="K38" s="17"/>
      <x:c r="L38" s="17"/>
      <x:c r="M38" s="17"/>
      <x:c r="N38" s="12" t="str">
        <x:v>BV01-02-jamabandi.txt</x:v>
      </x:c>
      <x:c r="O38" s="12" t="str">
        <x:v>Not stated in this file</x:v>
      </x:c>
    </x:row>
    <x:row r="39" ht="60" customHeight="1">
      <x:c r="A39" s="12" t="str">
        <x:v>BV01</x:v>
      </x:c>
      <x:c r="B39" s="12" t="str">
        <x:v>BV01-D2</x:v>
      </x:c>
      <x:c r="C39" s="12" t="str">
        <x:v>boundaries</x:v>
      </x:c>
      <x:c r="D39" s="12" t="str">
        <x:v>Omit</x:v>
      </x:c>
      <x:c r="E39" s="13"/>
      <x:c r="F39" s="14"/>
      <x:c r="G39" s="12"/>
      <x:c r="H39" s="15"/>
      <x:c r="I39" s="16"/>
      <x:c r="J39" s="17"/>
      <x:c r="K39" s="17"/>
      <x:c r="L39" s="17"/>
      <x:c r="M39" s="17"/>
      <x:c r="N39" s="12" t="str">
        <x:v>BV01-02-jamabandi.txt</x:v>
      </x:c>
      <x:c r="O39" s="12" t="str">
        <x:v>Not stated in this file</x:v>
      </x:c>
    </x:row>
    <x:row r="40" ht="60" customHeight="1">
      <x:c r="A40" s="18" t="str">
        <x:v>BV02</x:v>
      </x:c>
      <x:c r="B40" s="18" t="str">
        <x:v>BV02-D1</x:v>
      </x:c>
      <x:c r="C40" s="18" t="str">
        <x:v>owner</x:v>
      </x:c>
      <x:c r="D40" s="18" t="str">
        <x:v>Omit</x:v>
      </x:c>
      <x:c r="E40" s="19"/>
      <x:c r="F40" s="20"/>
      <x:c r="G40" s="18"/>
      <x:c r="H40" s="21"/>
      <x:c r="I40" s="22"/>
      <x:c r="J40" s="23"/>
      <x:c r="K40" s="23"/>
      <x:c r="L40" s="23"/>
      <x:c r="M40" s="23"/>
      <x:c r="N40" s="18" t="str">
        <x:v>BV02-01-sale-deed.pdf</x:v>
      </x:c>
      <x:c r="O40" s="18" t="str">
        <x:v>Not stated in this file</x:v>
      </x:c>
    </x:row>
    <x:row r="41" ht="60" customHeight="1">
      <x:c r="A41" s="12" t="str">
        <x:v>BV02</x:v>
      </x:c>
      <x:c r="B41" s="12" t="str">
        <x:v>BV02-D1</x:v>
      </x:c>
      <x:c r="C41" s="12" t="str">
        <x:v>seller</x:v>
      </x:c>
      <x:c r="D41" s="12" t="str">
        <x:v>Extract</x:v>
      </x:c>
      <x:c r="E41" s="13" t="str">
        <x:v>Neel Demo</x:v>
      </x:c>
      <x:c r="F41" s="14" t="n">
        <x:v>1</x:v>
      </x:c>
      <x:c r="G41" s="12" t="str">
        <x:v>Seller: Neel Demo</x:v>
      </x:c>
      <x:c r="H41" s="15"/>
      <x:c r="I41" s="16"/>
      <x:c r="J41" s="17"/>
      <x:c r="K41" s="17"/>
      <x:c r="L41" s="17"/>
      <x:c r="M41" s="17"/>
      <x:c r="N41" s="12" t="str">
        <x:v>BV02-01-sale-deed.pdf</x:v>
      </x:c>
      <x:c r="O41" s="12" t="str">
        <x:v>clear</x:v>
      </x:c>
    </x:row>
    <x:row r="42" ht="60" customHeight="1">
      <x:c r="A42" s="12" t="str">
        <x:v>BV02</x:v>
      </x:c>
      <x:c r="B42" s="12" t="str">
        <x:v>BV02-D1</x:v>
      </x:c>
      <x:c r="C42" s="12" t="str">
        <x:v>buyer</x:v>
      </x:c>
      <x:c r="D42" s="12" t="str">
        <x:v>Extract</x:v>
      </x:c>
      <x:c r="E42" s="13" t="str">
        <x:v>Tara Demo</x:v>
      </x:c>
      <x:c r="F42" s="14" t="n">
        <x:v>1</x:v>
      </x:c>
      <x:c r="G42" s="12" t="str">
        <x:v>Buyer: Tara Demo</x:v>
      </x:c>
      <x:c r="H42" s="15"/>
      <x:c r="I42" s="16"/>
      <x:c r="J42" s="17"/>
      <x:c r="K42" s="17"/>
      <x:c r="L42" s="17"/>
      <x:c r="M42" s="17"/>
      <x:c r="N42" s="12" t="str">
        <x:v>BV02-01-sale-deed.pdf</x:v>
      </x:c>
      <x:c r="O42" s="12" t="str">
        <x:v>clear</x:v>
      </x:c>
    </x:row>
    <x:row r="43" ht="60" customHeight="1">
      <x:c r="A43" s="12" t="str">
        <x:v>BV02</x:v>
      </x:c>
      <x:c r="B43" s="12" t="str">
        <x:v>BV02-D1</x:v>
      </x:c>
      <x:c r="C43" s="12" t="str">
        <x:v>district</x:v>
      </x:c>
      <x:c r="D43" s="12" t="str">
        <x:v>Extract</x:v>
      </x:c>
      <x:c r="E43" s="13" t="str">
        <x:v>Gaya</x:v>
      </x:c>
      <x:c r="F43" s="14" t="n">
        <x:v>2</x:v>
      </x:c>
      <x:c r="G43" s="12" t="str">
        <x:v>District: Gaya</x:v>
      </x:c>
      <x:c r="H43" s="15"/>
      <x:c r="I43" s="16"/>
      <x:c r="J43" s="17"/>
      <x:c r="K43" s="17"/>
      <x:c r="L43" s="17"/>
      <x:c r="M43" s="17"/>
      <x:c r="N43" s="12" t="str">
        <x:v>BV02-01-sale-deed.pdf</x:v>
      </x:c>
      <x:c r="O43" s="12" t="str">
        <x:v>clear</x:v>
      </x:c>
    </x:row>
    <x:row r="44" ht="60" customHeight="1">
      <x:c r="A44" s="12" t="str">
        <x:v>BV02</x:v>
      </x:c>
      <x:c r="B44" s="12" t="str">
        <x:v>BV02-D1</x:v>
      </x:c>
      <x:c r="C44" s="12" t="str">
        <x:v>circle</x:v>
      </x:c>
      <x:c r="D44" s="12" t="str">
        <x:v>Extract</x:v>
      </x:c>
      <x:c r="E44" s="13" t="str">
        <x:v>Tikari</x:v>
      </x:c>
      <x:c r="F44" s="14" t="n">
        <x:v>2</x:v>
      </x:c>
      <x:c r="G44" s="12" t="str">
        <x:v>Anchal / circle: Tikari</x:v>
      </x:c>
      <x:c r="H44" s="15"/>
      <x:c r="I44" s="16"/>
      <x:c r="J44" s="17"/>
      <x:c r="K44" s="17"/>
      <x:c r="L44" s="17"/>
      <x:c r="M44" s="17"/>
      <x:c r="N44" s="12" t="str">
        <x:v>BV02-01-sale-deed.pdf</x:v>
      </x:c>
      <x:c r="O44" s="12" t="str">
        <x:v>clear</x:v>
      </x:c>
    </x:row>
    <x:row r="45" ht="60" customHeight="1">
      <x:c r="A45" s="12" t="str">
        <x:v>BV02</x:v>
      </x:c>
      <x:c r="B45" s="12" t="str">
        <x:v>BV02-D1</x:v>
      </x:c>
      <x:c r="C45" s="12" t="str">
        <x:v>mauza</x:v>
      </x:c>
      <x:c r="D45" s="12" t="str">
        <x:v>Extract</x:v>
      </x:c>
      <x:c r="E45" s="13" t="str">
        <x:v>Udaan Demo Mauza</x:v>
      </x:c>
      <x:c r="F45" s="14" t="n">
        <x:v>2</x:v>
      </x:c>
      <x:c r="G45" s="12" t="str">
        <x:v>Mauza (fictional village): Udaan Demo Mauza</x:v>
      </x:c>
      <x:c r="H45" s="15"/>
      <x:c r="I45" s="16"/>
      <x:c r="J45" s="17"/>
      <x:c r="K45" s="17"/>
      <x:c r="L45" s="17"/>
      <x:c r="M45" s="17"/>
      <x:c r="N45" s="12" t="str">
        <x:v>BV02-01-sale-deed.pdf</x:v>
      </x:c>
      <x:c r="O45" s="12" t="str">
        <x:v>clear</x:v>
      </x:c>
    </x:row>
    <x:row r="46" ht="60" customHeight="1">
      <x:c r="A46" s="12" t="str">
        <x:v>BV02</x:v>
      </x:c>
      <x:c r="B46" s="12" t="str">
        <x:v>BV02-D1</x:v>
      </x:c>
      <x:c r="C46" s="12" t="str">
        <x:v>thana</x:v>
      </x:c>
      <x:c r="D46" s="12" t="str">
        <x:v>Omit</x:v>
      </x:c>
      <x:c r="E46" s="13"/>
      <x:c r="F46" s="14"/>
      <x:c r="G46" s="12"/>
      <x:c r="H46" s="15"/>
      <x:c r="I46" s="16"/>
      <x:c r="J46" s="17"/>
      <x:c r="K46" s="17"/>
      <x:c r="L46" s="17"/>
      <x:c r="M46" s="17"/>
      <x:c r="N46" s="12" t="str">
        <x:v>BV02-01-sale-deed.pdf</x:v>
      </x:c>
      <x:c r="O46" s="12" t="str">
        <x:v>Not stated in this file</x:v>
      </x:c>
    </x:row>
    <x:row r="47" ht="60" customHeight="1">
      <x:c r="A47" s="12" t="str">
        <x:v>BV02</x:v>
      </x:c>
      <x:c r="B47" s="12" t="str">
        <x:v>BV02-D1</x:v>
      </x:c>
      <x:c r="C47" s="12" t="str">
        <x:v>khata</x:v>
      </x:c>
      <x:c r="D47" s="12" t="str">
        <x:v>Extract</x:v>
      </x:c>
      <x:c r="E47" s="24" t="str">
        <x:v>0027</x:v>
      </x:c>
      <x:c r="F47" s="14" t="n">
        <x:v>2</x:v>
      </x:c>
      <x:c r="G47" s="12" t="str">
        <x:v>Khata: 0027</x:v>
      </x:c>
      <x:c r="H47" s="15"/>
      <x:c r="I47" s="16"/>
      <x:c r="J47" s="17"/>
      <x:c r="K47" s="17"/>
      <x:c r="L47" s="17"/>
      <x:c r="M47" s="17"/>
      <x:c r="N47" s="12" t="str">
        <x:v>BV02-01-sale-deed.pdf</x:v>
      </x:c>
      <x:c r="O47" s="12" t="str">
        <x:v>clear</x:v>
      </x:c>
    </x:row>
    <x:row r="48" ht="60" customHeight="1">
      <x:c r="A48" s="12" t="str">
        <x:v>BV02</x:v>
      </x:c>
      <x:c r="B48" s="12" t="str">
        <x:v>BV02-D1</x:v>
      </x:c>
      <x:c r="C48" s="12" t="str">
        <x:v>khesra</x:v>
      </x:c>
      <x:c r="D48" s="12" t="str">
        <x:v>Extract</x:v>
      </x:c>
      <x:c r="E48" s="24" t="str">
        <x:v>0119</x:v>
      </x:c>
      <x:c r="F48" s="14" t="n">
        <x:v>2</x:v>
      </x:c>
      <x:c r="G48" s="12" t="str">
        <x:v>Khesra: 0119</x:v>
      </x:c>
      <x:c r="H48" s="15"/>
      <x:c r="I48" s="16"/>
      <x:c r="J48" s="17"/>
      <x:c r="K48" s="17"/>
      <x:c r="L48" s="17"/>
      <x:c r="M48" s="17"/>
      <x:c r="N48" s="12" t="str">
        <x:v>BV02-01-sale-deed.pdf</x:v>
      </x:c>
      <x:c r="O48" s="12" t="str">
        <x:v>clear</x:v>
      </x:c>
    </x:row>
    <x:row r="49" ht="60" customHeight="1">
      <x:c r="A49" s="12" t="str">
        <x:v>BV02</x:v>
      </x:c>
      <x:c r="B49" s="12" t="str">
        <x:v>BV02-D1</x:v>
      </x:c>
      <x:c r="C49" s="12" t="str">
        <x:v>jamabandi</x:v>
      </x:c>
      <x:c r="D49" s="12" t="str">
        <x:v>Omit</x:v>
      </x:c>
      <x:c r="E49" s="13"/>
      <x:c r="F49" s="14"/>
      <x:c r="G49" s="12"/>
      <x:c r="H49" s="15"/>
      <x:c r="I49" s="16"/>
      <x:c r="J49" s="17"/>
      <x:c r="K49" s="17"/>
      <x:c r="L49" s="17"/>
      <x:c r="M49" s="17"/>
      <x:c r="N49" s="12" t="str">
        <x:v>BV02-01-sale-deed.pdf</x:v>
      </x:c>
      <x:c r="O49" s="12" t="str">
        <x:v>Not stated in this file</x:v>
      </x:c>
    </x:row>
    <x:row r="50" ht="60" customHeight="1">
      <x:c r="A50" s="12" t="str">
        <x:v>BV02</x:v>
      </x:c>
      <x:c r="B50" s="12" t="str">
        <x:v>BV02-D1</x:v>
      </x:c>
      <x:c r="C50" s="12" t="str">
        <x:v>area</x:v>
      </x:c>
      <x:c r="D50" s="12" t="str">
        <x:v>Extract</x:v>
      </x:c>
      <x:c r="E50" s="13" t="str">
        <x:v>900</x:v>
      </x:c>
      <x:c r="F50" s="14" t="n">
        <x:v>2</x:v>
      </x:c>
      <x:c r="G50" s="12" t="str">
        <x:v>Area: 900</x:v>
      </x:c>
      <x:c r="H50" s="15"/>
      <x:c r="I50" s="16"/>
      <x:c r="J50" s="17"/>
      <x:c r="K50" s="17"/>
      <x:c r="L50" s="17"/>
      <x:c r="M50" s="17"/>
      <x:c r="N50" s="12" t="str">
        <x:v>BV02-01-sale-deed.pdf</x:v>
      </x:c>
      <x:c r="O50" s="12" t="str">
        <x:v>clear</x:v>
      </x:c>
    </x:row>
    <x:row r="51" ht="60" customHeight="1">
      <x:c r="A51" s="12" t="str">
        <x:v>BV02</x:v>
      </x:c>
      <x:c r="B51" s="12" t="str">
        <x:v>BV02-D1</x:v>
      </x:c>
      <x:c r="C51" s="12" t="str">
        <x:v>areaUnit</x:v>
      </x:c>
      <x:c r="D51" s="12" t="str">
        <x:v>Extract</x:v>
      </x:c>
      <x:c r="E51" s="13" t="str">
        <x:v>sq ft</x:v>
      </x:c>
      <x:c r="F51" s="14" t="n">
        <x:v>2</x:v>
      </x:c>
      <x:c r="G51" s="12" t="str">
        <x:v>Area unit: sq ft</x:v>
      </x:c>
      <x:c r="H51" s="15"/>
      <x:c r="I51" s="16"/>
      <x:c r="J51" s="17"/>
      <x:c r="K51" s="17"/>
      <x:c r="L51" s="17"/>
      <x:c r="M51" s="17"/>
      <x:c r="N51" s="12" t="str">
        <x:v>BV02-01-sale-deed.pdf</x:v>
      </x:c>
      <x:c r="O51" s="12" t="str">
        <x:v>clear</x:v>
      </x:c>
    </x:row>
    <x:row r="52" ht="60" customHeight="1">
      <x:c r="A52" s="12" t="str">
        <x:v>BV02</x:v>
      </x:c>
      <x:c r="B52" s="12" t="str">
        <x:v>BV02-D1</x:v>
      </x:c>
      <x:c r="C52" s="12" t="str">
        <x:v>date</x:v>
      </x:c>
      <x:c r="D52" s="12" t="str">
        <x:v>Extract</x:v>
      </x:c>
      <x:c r="E52" s="13" t="str">
        <x:v>2023-08-19</x:v>
      </x:c>
      <x:c r="F52" s="14" t="n">
        <x:v>1</x:v>
      </x:c>
      <x:c r="G52" s="12" t="str">
        <x:v>Document date: 2023-08-19</x:v>
      </x:c>
      <x:c r="H52" s="15"/>
      <x:c r="I52" s="16"/>
      <x:c r="J52" s="17"/>
      <x:c r="K52" s="17"/>
      <x:c r="L52" s="17"/>
      <x:c r="M52" s="17"/>
      <x:c r="N52" s="12" t="str">
        <x:v>BV02-01-sale-deed.pdf</x:v>
      </x:c>
      <x:c r="O52" s="12" t="str">
        <x:v>clear</x:v>
      </x:c>
    </x:row>
    <x:row r="53" ht="60" customHeight="1">
      <x:c r="A53" s="12" t="str">
        <x:v>BV02</x:v>
      </x:c>
      <x:c r="B53" s="12" t="str">
        <x:v>BV02-D1</x:v>
      </x:c>
      <x:c r="C53" s="12" t="str">
        <x:v>mutationStatus</x:v>
      </x:c>
      <x:c r="D53" s="12" t="str">
        <x:v>Omit</x:v>
      </x:c>
      <x:c r="E53" s="13"/>
      <x:c r="F53" s="14"/>
      <x:c r="G53" s="12"/>
      <x:c r="H53" s="15"/>
      <x:c r="I53" s="16"/>
      <x:c r="J53" s="17"/>
      <x:c r="K53" s="17"/>
      <x:c r="L53" s="17"/>
      <x:c r="M53" s="17"/>
      <x:c r="N53" s="12" t="str">
        <x:v>BV02-01-sale-deed.pdf</x:v>
      </x:c>
      <x:c r="O53" s="12" t="str">
        <x:v>Not stated in this file</x:v>
      </x:c>
    </x:row>
    <x:row r="54" ht="60" customHeight="1">
      <x:c r="A54" s="12" t="str">
        <x:v>BV02</x:v>
      </x:c>
      <x:c r="B54" s="12" t="str">
        <x:v>BV02-D1</x:v>
      </x:c>
      <x:c r="C54" s="12" t="str">
        <x:v>mortgage</x:v>
      </x:c>
      <x:c r="D54" s="12" t="str">
        <x:v>Omit</x:v>
      </x:c>
      <x:c r="E54" s="13"/>
      <x:c r="F54" s="14"/>
      <x:c r="G54" s="12"/>
      <x:c r="H54" s="15"/>
      <x:c r="I54" s="16"/>
      <x:c r="J54" s="17"/>
      <x:c r="K54" s="17"/>
      <x:c r="L54" s="17"/>
      <x:c r="M54" s="17"/>
      <x:c r="N54" s="12" t="str">
        <x:v>BV02-01-sale-deed.pdf</x:v>
      </x:c>
      <x:c r="O54" s="12" t="str">
        <x:v>Not stated in this file</x:v>
      </x:c>
    </x:row>
    <x:row r="55" ht="60" customHeight="1">
      <x:c r="A55" s="12" t="str">
        <x:v>BV02</x:v>
      </x:c>
      <x:c r="B55" s="12" t="str">
        <x:v>BV02-D1</x:v>
      </x:c>
      <x:c r="C55" s="12" t="str">
        <x:v>boundaries</x:v>
      </x:c>
      <x:c r="D55" s="12" t="str">
        <x:v>Omit</x:v>
      </x:c>
      <x:c r="E55" s="13"/>
      <x:c r="F55" s="14"/>
      <x:c r="G55" s="12"/>
      <x:c r="H55" s="15"/>
      <x:c r="I55" s="16"/>
      <x:c r="J55" s="17"/>
      <x:c r="K55" s="17"/>
      <x:c r="L55" s="17"/>
      <x:c r="M55" s="17"/>
      <x:c r="N55" s="12" t="str">
        <x:v>BV02-01-sale-deed.pdf</x:v>
      </x:c>
      <x:c r="O55" s="12" t="str">
        <x:v>Not stated in this file</x:v>
      </x:c>
    </x:row>
    <x:row r="56" ht="60" customHeight="1">
      <x:c r="A56" s="18" t="str">
        <x:v>BV02</x:v>
      </x:c>
      <x:c r="B56" s="18" t="str">
        <x:v>BV02-D2</x:v>
      </x:c>
      <x:c r="C56" s="18" t="str">
        <x:v>owner</x:v>
      </x:c>
      <x:c r="D56" s="18" t="str">
        <x:v>Extract</x:v>
      </x:c>
      <x:c r="E56" s="19" t="str">
        <x:v>Tara Demo</x:v>
      </x:c>
      <x:c r="F56" s="20" t="n">
        <x:v>1</x:v>
      </x:c>
      <x:c r="G56" s="18" t="str">
        <x:v>Recorded owner: Tara Demo</x:v>
      </x:c>
      <x:c r="H56" s="21"/>
      <x:c r="I56" s="22"/>
      <x:c r="J56" s="23"/>
      <x:c r="K56" s="23"/>
      <x:c r="L56" s="23"/>
      <x:c r="M56" s="23"/>
      <x:c r="N56" s="18" t="str">
        <x:v>BV02-02-jamabandi.pdf</x:v>
      </x:c>
      <x:c r="O56" s="18" t="str">
        <x:v>clear</x:v>
      </x:c>
    </x:row>
    <x:row r="57" ht="60" customHeight="1">
      <x:c r="A57" s="12" t="str">
        <x:v>BV02</x:v>
      </x:c>
      <x:c r="B57" s="12" t="str">
        <x:v>BV02-D2</x:v>
      </x:c>
      <x:c r="C57" s="12" t="str">
        <x:v>seller</x:v>
      </x:c>
      <x:c r="D57" s="12" t="str">
        <x:v>Omit</x:v>
      </x:c>
      <x:c r="E57" s="13"/>
      <x:c r="F57" s="14"/>
      <x:c r="G57" s="12"/>
      <x:c r="H57" s="15"/>
      <x:c r="I57" s="16"/>
      <x:c r="J57" s="17"/>
      <x:c r="K57" s="17"/>
      <x:c r="L57" s="17"/>
      <x:c r="M57" s="17"/>
      <x:c r="N57" s="12" t="str">
        <x:v>BV02-02-jamabandi.pdf</x:v>
      </x:c>
      <x:c r="O57" s="12" t="str">
        <x:v>Not stated in this file</x:v>
      </x:c>
    </x:row>
    <x:row r="58" ht="60" customHeight="1">
      <x:c r="A58" s="12" t="str">
        <x:v>BV02</x:v>
      </x:c>
      <x:c r="B58" s="12" t="str">
        <x:v>BV02-D2</x:v>
      </x:c>
      <x:c r="C58" s="12" t="str">
        <x:v>buyer</x:v>
      </x:c>
      <x:c r="D58" s="12" t="str">
        <x:v>Omit</x:v>
      </x:c>
      <x:c r="E58" s="13"/>
      <x:c r="F58" s="14"/>
      <x:c r="G58" s="12"/>
      <x:c r="H58" s="15"/>
      <x:c r="I58" s="16"/>
      <x:c r="J58" s="17"/>
      <x:c r="K58" s="17"/>
      <x:c r="L58" s="17"/>
      <x:c r="M58" s="17"/>
      <x:c r="N58" s="12" t="str">
        <x:v>BV02-02-jamabandi.pdf</x:v>
      </x:c>
      <x:c r="O58" s="12" t="str">
        <x:v>Not stated in this file</x:v>
      </x:c>
    </x:row>
    <x:row r="59" ht="60" customHeight="1">
      <x:c r="A59" s="12" t="str">
        <x:v>BV02</x:v>
      </x:c>
      <x:c r="B59" s="12" t="str">
        <x:v>BV02-D2</x:v>
      </x:c>
      <x:c r="C59" s="12" t="str">
        <x:v>district</x:v>
      </x:c>
      <x:c r="D59" s="12" t="str">
        <x:v>Extract</x:v>
      </x:c>
      <x:c r="E59" s="13" t="str">
        <x:v>Gaya</x:v>
      </x:c>
      <x:c r="F59" s="14" t="n">
        <x:v>2</x:v>
      </x:c>
      <x:c r="G59" s="12" t="str">
        <x:v>District: Gaya</x:v>
      </x:c>
      <x:c r="H59" s="15"/>
      <x:c r="I59" s="16"/>
      <x:c r="J59" s="17"/>
      <x:c r="K59" s="17"/>
      <x:c r="L59" s="17"/>
      <x:c r="M59" s="17"/>
      <x:c r="N59" s="12" t="str">
        <x:v>BV02-02-jamabandi.pdf</x:v>
      </x:c>
      <x:c r="O59" s="12" t="str">
        <x:v>clear</x:v>
      </x:c>
    </x:row>
    <x:row r="60" ht="60" customHeight="1">
      <x:c r="A60" s="12" t="str">
        <x:v>BV02</x:v>
      </x:c>
      <x:c r="B60" s="12" t="str">
        <x:v>BV02-D2</x:v>
      </x:c>
      <x:c r="C60" s="12" t="str">
        <x:v>circle</x:v>
      </x:c>
      <x:c r="D60" s="12" t="str">
        <x:v>Extract</x:v>
      </x:c>
      <x:c r="E60" s="13" t="str">
        <x:v>Tikari</x:v>
      </x:c>
      <x:c r="F60" s="14" t="n">
        <x:v>2</x:v>
      </x:c>
      <x:c r="G60" s="12" t="str">
        <x:v>Anchal / circle: Tikari</x:v>
      </x:c>
      <x:c r="H60" s="15"/>
      <x:c r="I60" s="16"/>
      <x:c r="J60" s="17"/>
      <x:c r="K60" s="17"/>
      <x:c r="L60" s="17"/>
      <x:c r="M60" s="17"/>
      <x:c r="N60" s="12" t="str">
        <x:v>BV02-02-jamabandi.pdf</x:v>
      </x:c>
      <x:c r="O60" s="12" t="str">
        <x:v>clear</x:v>
      </x:c>
    </x:row>
    <x:row r="61" ht="60" customHeight="1">
      <x:c r="A61" s="12" t="str">
        <x:v>BV02</x:v>
      </x:c>
      <x:c r="B61" s="12" t="str">
        <x:v>BV02-D2</x:v>
      </x:c>
      <x:c r="C61" s="12" t="str">
        <x:v>mauza</x:v>
      </x:c>
      <x:c r="D61" s="12" t="str">
        <x:v>Extract</x:v>
      </x:c>
      <x:c r="E61" s="13" t="str">
        <x:v>Udaan Demo Mauza</x:v>
      </x:c>
      <x:c r="F61" s="14" t="n">
        <x:v>2</x:v>
      </x:c>
      <x:c r="G61" s="12" t="str">
        <x:v>Mauza (fictional village): Udaan Demo Mauza</x:v>
      </x:c>
      <x:c r="H61" s="15"/>
      <x:c r="I61" s="16"/>
      <x:c r="J61" s="17"/>
      <x:c r="K61" s="17"/>
      <x:c r="L61" s="17"/>
      <x:c r="M61" s="17"/>
      <x:c r="N61" s="12" t="str">
        <x:v>BV02-02-jamabandi.pdf</x:v>
      </x:c>
      <x:c r="O61" s="12" t="str">
        <x:v>clear</x:v>
      </x:c>
    </x:row>
    <x:row r="62" ht="60" customHeight="1">
      <x:c r="A62" s="12" t="str">
        <x:v>BV02</x:v>
      </x:c>
      <x:c r="B62" s="12" t="str">
        <x:v>BV02-D2</x:v>
      </x:c>
      <x:c r="C62" s="12" t="str">
        <x:v>thana</x:v>
      </x:c>
      <x:c r="D62" s="12" t="str">
        <x:v>Omit</x:v>
      </x:c>
      <x:c r="E62" s="13"/>
      <x:c r="F62" s="14"/>
      <x:c r="G62" s="12"/>
      <x:c r="H62" s="15"/>
      <x:c r="I62" s="16"/>
      <x:c r="J62" s="17"/>
      <x:c r="K62" s="17"/>
      <x:c r="L62" s="17"/>
      <x:c r="M62" s="17"/>
      <x:c r="N62" s="12" t="str">
        <x:v>BV02-02-jamabandi.pdf</x:v>
      </x:c>
      <x:c r="O62" s="12" t="str">
        <x:v>Not stated in this file</x:v>
      </x:c>
    </x:row>
    <x:row r="63" ht="60" customHeight="1">
      <x:c r="A63" s="12" t="str">
        <x:v>BV02</x:v>
      </x:c>
      <x:c r="B63" s="12" t="str">
        <x:v>BV02-D2</x:v>
      </x:c>
      <x:c r="C63" s="12" t="str">
        <x:v>khata</x:v>
      </x:c>
      <x:c r="D63" s="12" t="str">
        <x:v>Extract</x:v>
      </x:c>
      <x:c r="E63" s="24" t="str">
        <x:v>0027</x:v>
      </x:c>
      <x:c r="F63" s="14" t="n">
        <x:v>2</x:v>
      </x:c>
      <x:c r="G63" s="12" t="str">
        <x:v>Khata: 0027</x:v>
      </x:c>
      <x:c r="H63" s="15"/>
      <x:c r="I63" s="16"/>
      <x:c r="J63" s="17"/>
      <x:c r="K63" s="17"/>
      <x:c r="L63" s="17"/>
      <x:c r="M63" s="17"/>
      <x:c r="N63" s="12" t="str">
        <x:v>BV02-02-jamabandi.pdf</x:v>
      </x:c>
      <x:c r="O63" s="12" t="str">
        <x:v>clear</x:v>
      </x:c>
    </x:row>
    <x:row r="64" ht="60" customHeight="1">
      <x:c r="A64" s="12" t="str">
        <x:v>BV02</x:v>
      </x:c>
      <x:c r="B64" s="12" t="str">
        <x:v>BV02-D2</x:v>
      </x:c>
      <x:c r="C64" s="12" t="str">
        <x:v>khesra</x:v>
      </x:c>
      <x:c r="D64" s="12" t="str">
        <x:v>Extract</x:v>
      </x:c>
      <x:c r="E64" s="24" t="str">
        <x:v>0119</x:v>
      </x:c>
      <x:c r="F64" s="14" t="n">
        <x:v>2</x:v>
      </x:c>
      <x:c r="G64" s="12" t="str">
        <x:v>Khesra: 0119</x:v>
      </x:c>
      <x:c r="H64" s="15"/>
      <x:c r="I64" s="16"/>
      <x:c r="J64" s="17"/>
      <x:c r="K64" s="17"/>
      <x:c r="L64" s="17"/>
      <x:c r="M64" s="17"/>
      <x:c r="N64" s="12" t="str">
        <x:v>BV02-02-jamabandi.pdf</x:v>
      </x:c>
      <x:c r="O64" s="12" t="str">
        <x:v>clear</x:v>
      </x:c>
    </x:row>
    <x:row r="65" ht="60" customHeight="1">
      <x:c r="A65" s="12" t="str">
        <x:v>BV02</x:v>
      </x:c>
      <x:c r="B65" s="12" t="str">
        <x:v>BV02-D2</x:v>
      </x:c>
      <x:c r="C65" s="12" t="str">
        <x:v>jamabandi</x:v>
      </x:c>
      <x:c r="D65" s="12" t="str">
        <x:v>Extract</x:v>
      </x:c>
      <x:c r="E65" s="13" t="str">
        <x:v>DEMO-JB-202</x:v>
      </x:c>
      <x:c r="F65" s="14" t="n">
        <x:v>1</x:v>
      </x:c>
      <x:c r="G65" s="12" t="str">
        <x:v>Jamabandi reference: DEMO-JB-202</x:v>
      </x:c>
      <x:c r="H65" s="15"/>
      <x:c r="I65" s="16"/>
      <x:c r="J65" s="17"/>
      <x:c r="K65" s="17"/>
      <x:c r="L65" s="17"/>
      <x:c r="M65" s="17"/>
      <x:c r="N65" s="12" t="str">
        <x:v>BV02-02-jamabandi.pdf</x:v>
      </x:c>
      <x:c r="O65" s="12" t="str">
        <x:v>clear</x:v>
      </x:c>
    </x:row>
    <x:row r="66" ht="60" customHeight="1">
      <x:c r="A66" s="12" t="str">
        <x:v>BV02</x:v>
      </x:c>
      <x:c r="B66" s="12" t="str">
        <x:v>BV02-D2</x:v>
      </x:c>
      <x:c r="C66" s="12" t="str">
        <x:v>area</x:v>
      </x:c>
      <x:c r="D66" s="12" t="str">
        <x:v>Extract</x:v>
      </x:c>
      <x:c r="E66" s="13" t="str">
        <x:v>900</x:v>
      </x:c>
      <x:c r="F66" s="14" t="n">
        <x:v>2</x:v>
      </x:c>
      <x:c r="G66" s="12" t="str">
        <x:v>Area: 900</x:v>
      </x:c>
      <x:c r="H66" s="15"/>
      <x:c r="I66" s="16"/>
      <x:c r="J66" s="17"/>
      <x:c r="K66" s="17"/>
      <x:c r="L66" s="17"/>
      <x:c r="M66" s="17"/>
      <x:c r="N66" s="12" t="str">
        <x:v>BV02-02-jamabandi.pdf</x:v>
      </x:c>
      <x:c r="O66" s="12" t="str">
        <x:v>clear</x:v>
      </x:c>
    </x:row>
    <x:row r="67" ht="60" customHeight="1">
      <x:c r="A67" s="12" t="str">
        <x:v>BV02</x:v>
      </x:c>
      <x:c r="B67" s="12" t="str">
        <x:v>BV02-D2</x:v>
      </x:c>
      <x:c r="C67" s="12" t="str">
        <x:v>areaUnit</x:v>
      </x:c>
      <x:c r="D67" s="12" t="str">
        <x:v>Extract</x:v>
      </x:c>
      <x:c r="E67" s="13" t="str">
        <x:v>sq ft</x:v>
      </x:c>
      <x:c r="F67" s="14" t="n">
        <x:v>2</x:v>
      </x:c>
      <x:c r="G67" s="12" t="str">
        <x:v>Area unit: sq ft</x:v>
      </x:c>
      <x:c r="H67" s="15"/>
      <x:c r="I67" s="16"/>
      <x:c r="J67" s="17"/>
      <x:c r="K67" s="17"/>
      <x:c r="L67" s="17"/>
      <x:c r="M67" s="17"/>
      <x:c r="N67" s="12" t="str">
        <x:v>BV02-02-jamabandi.pdf</x:v>
      </x:c>
      <x:c r="O67" s="12" t="str">
        <x:v>clear</x:v>
      </x:c>
    </x:row>
    <x:row r="68" ht="60" customHeight="1">
      <x:c r="A68" s="12" t="str">
        <x:v>BV02</x:v>
      </x:c>
      <x:c r="B68" s="12" t="str">
        <x:v>BV02-D2</x:v>
      </x:c>
      <x:c r="C68" s="12" t="str">
        <x:v>date</x:v>
      </x:c>
      <x:c r="D68" s="12" t="str">
        <x:v>Extract</x:v>
      </x:c>
      <x:c r="E68" s="13" t="str">
        <x:v>2024-01-09</x:v>
      </x:c>
      <x:c r="F68" s="14" t="n">
        <x:v>1</x:v>
      </x:c>
      <x:c r="G68" s="12" t="str">
        <x:v>Document date: 2024-01-09</x:v>
      </x:c>
      <x:c r="H68" s="15"/>
      <x:c r="I68" s="16"/>
      <x:c r="J68" s="17"/>
      <x:c r="K68" s="17"/>
      <x:c r="L68" s="17"/>
      <x:c r="M68" s="17"/>
      <x:c r="N68" s="12" t="str">
        <x:v>BV02-02-jamabandi.pdf</x:v>
      </x:c>
      <x:c r="O68" s="12" t="str">
        <x:v>clear</x:v>
      </x:c>
    </x:row>
    <x:row r="69" ht="60" customHeight="1">
      <x:c r="A69" s="12" t="str">
        <x:v>BV02</x:v>
      </x:c>
      <x:c r="B69" s="12" t="str">
        <x:v>BV02-D2</x:v>
      </x:c>
      <x:c r="C69" s="12" t="str">
        <x:v>mutationStatus</x:v>
      </x:c>
      <x:c r="D69" s="12" t="str">
        <x:v>Omit</x:v>
      </x:c>
      <x:c r="E69" s="13"/>
      <x:c r="F69" s="14"/>
      <x:c r="G69" s="12"/>
      <x:c r="H69" s="15"/>
      <x:c r="I69" s="16"/>
      <x:c r="J69" s="17"/>
      <x:c r="K69" s="17"/>
      <x:c r="L69" s="17"/>
      <x:c r="M69" s="17"/>
      <x:c r="N69" s="12" t="str">
        <x:v>BV02-02-jamabandi.pdf</x:v>
      </x:c>
      <x:c r="O69" s="12" t="str">
        <x:v>Not stated in this file</x:v>
      </x:c>
    </x:row>
    <x:row r="70" ht="60" customHeight="1">
      <x:c r="A70" s="12" t="str">
        <x:v>BV02</x:v>
      </x:c>
      <x:c r="B70" s="12" t="str">
        <x:v>BV02-D2</x:v>
      </x:c>
      <x:c r="C70" s="12" t="str">
        <x:v>mortgage</x:v>
      </x:c>
      <x:c r="D70" s="12" t="str">
        <x:v>Omit</x:v>
      </x:c>
      <x:c r="E70" s="13"/>
      <x:c r="F70" s="14"/>
      <x:c r="G70" s="12"/>
      <x:c r="H70" s="15"/>
      <x:c r="I70" s="16"/>
      <x:c r="J70" s="17"/>
      <x:c r="K70" s="17"/>
      <x:c r="L70" s="17"/>
      <x:c r="M70" s="17"/>
      <x:c r="N70" s="12" t="str">
        <x:v>BV02-02-jamabandi.pdf</x:v>
      </x:c>
      <x:c r="O70" s="12" t="str">
        <x:v>Not stated in this file</x:v>
      </x:c>
    </x:row>
    <x:row r="71" ht="60" customHeight="1">
      <x:c r="A71" s="12" t="str">
        <x:v>BV02</x:v>
      </x:c>
      <x:c r="B71" s="12" t="str">
        <x:v>BV02-D2</x:v>
      </x:c>
      <x:c r="C71" s="12" t="str">
        <x:v>boundaries</x:v>
      </x:c>
      <x:c r="D71" s="12" t="str">
        <x:v>Omit</x:v>
      </x:c>
      <x:c r="E71" s="13"/>
      <x:c r="F71" s="14"/>
      <x:c r="G71" s="12"/>
      <x:c r="H71" s="15"/>
      <x:c r="I71" s="16"/>
      <x:c r="J71" s="17"/>
      <x:c r="K71" s="17"/>
      <x:c r="L71" s="17"/>
      <x:c r="M71" s="17"/>
      <x:c r="N71" s="12" t="str">
        <x:v>BV02-02-jamabandi.pdf</x:v>
      </x:c>
      <x:c r="O71" s="12" t="str">
        <x:v>Not stated in this file</x:v>
      </x:c>
    </x:row>
    <x:row r="72" ht="60" customHeight="1">
      <x:c r="A72" s="18" t="str">
        <x:v>BV03</x:v>
      </x:c>
      <x:c r="B72" s="18" t="str">
        <x:v>BV03-D1</x:v>
      </x:c>
      <x:c r="C72" s="18" t="str">
        <x:v>owner</x:v>
      </x:c>
      <x:c r="D72" s="18" t="str">
        <x:v>Omit</x:v>
      </x:c>
      <x:c r="E72" s="19"/>
      <x:c r="F72" s="20"/>
      <x:c r="G72" s="18"/>
      <x:c r="H72" s="21"/>
      <x:c r="I72" s="22"/>
      <x:c r="J72" s="23"/>
      <x:c r="K72" s="23"/>
      <x:c r="L72" s="23"/>
      <x:c r="M72" s="23"/>
      <x:c r="N72" s="18" t="str">
        <x:v>BV03-01-sale-deed.pdf</x:v>
      </x:c>
      <x:c r="O72" s="18" t="str">
        <x:v>Not stated in this file</x:v>
      </x:c>
    </x:row>
    <x:row r="73" ht="60" customHeight="1">
      <x:c r="A73" s="12" t="str">
        <x:v>BV03</x:v>
      </x:c>
      <x:c r="B73" s="12" t="str">
        <x:v>BV03-D1</x:v>
      </x:c>
      <x:c r="C73" s="12" t="str">
        <x:v>seller</x:v>
      </x:c>
      <x:c r="D73" s="12" t="str">
        <x:v>Extract</x:v>
      </x:c>
      <x:c r="E73" s="13" t="str">
        <x:v>Kabir Demo</x:v>
      </x:c>
      <x:c r="F73" s="14" t="n">
        <x:v>1</x:v>
      </x:c>
      <x:c r="G73" s="12" t="str">
        <x:v>Seller: Kabir Demo</x:v>
      </x:c>
      <x:c r="H73" s="15"/>
      <x:c r="I73" s="16"/>
      <x:c r="J73" s="17"/>
      <x:c r="K73" s="17"/>
      <x:c r="L73" s="17"/>
      <x:c r="M73" s="17"/>
      <x:c r="N73" s="12" t="str">
        <x:v>BV03-01-sale-deed.pdf</x:v>
      </x:c>
      <x:c r="O73" s="12" t="str">
        <x:v>clear</x:v>
      </x:c>
    </x:row>
    <x:row r="74" ht="60" customHeight="1">
      <x:c r="A74" s="12" t="str">
        <x:v>BV03</x:v>
      </x:c>
      <x:c r="B74" s="12" t="str">
        <x:v>BV03-D1</x:v>
      </x:c>
      <x:c r="C74" s="12" t="str">
        <x:v>buyer</x:v>
      </x:c>
      <x:c r="D74" s="12" t="str">
        <x:v>Extract</x:v>
      </x:c>
      <x:c r="E74" s="13" t="str">
        <x:v>Sana Demo</x:v>
      </x:c>
      <x:c r="F74" s="14" t="n">
        <x:v>1</x:v>
      </x:c>
      <x:c r="G74" s="12" t="str">
        <x:v>Buyer: Sana Demo</x:v>
      </x:c>
      <x:c r="H74" s="15"/>
      <x:c r="I74" s="16"/>
      <x:c r="J74" s="17"/>
      <x:c r="K74" s="17"/>
      <x:c r="L74" s="17"/>
      <x:c r="M74" s="17"/>
      <x:c r="N74" s="12" t="str">
        <x:v>BV03-01-sale-deed.pdf</x:v>
      </x:c>
      <x:c r="O74" s="12" t="str">
        <x:v>clear</x:v>
      </x:c>
    </x:row>
    <x:row r="75" ht="60" customHeight="1">
      <x:c r="A75" s="12" t="str">
        <x:v>BV03</x:v>
      </x:c>
      <x:c r="B75" s="12" t="str">
        <x:v>BV03-D1</x:v>
      </x:c>
      <x:c r="C75" s="12" t="str">
        <x:v>district</x:v>
      </x:c>
      <x:c r="D75" s="12" t="str">
        <x:v>Extract</x:v>
      </x:c>
      <x:c r="E75" s="13" t="str">
        <x:v>Nalanda</x:v>
      </x:c>
      <x:c r="F75" s="14" t="n">
        <x:v>1</x:v>
      </x:c>
      <x:c r="G75" s="12" t="str">
        <x:v>District: Nalanda</x:v>
      </x:c>
      <x:c r="H75" s="15"/>
      <x:c r="I75" s="16"/>
      <x:c r="J75" s="17"/>
      <x:c r="K75" s="17"/>
      <x:c r="L75" s="17"/>
      <x:c r="M75" s="17"/>
      <x:c r="N75" s="12" t="str">
        <x:v>BV03-01-sale-deed.pdf</x:v>
      </x:c>
      <x:c r="O75" s="12" t="str">
        <x:v>clear</x:v>
      </x:c>
    </x:row>
    <x:row r="76" ht="60" customHeight="1">
      <x:c r="A76" s="12" t="str">
        <x:v>BV03</x:v>
      </x:c>
      <x:c r="B76" s="12" t="str">
        <x:v>BV03-D1</x:v>
      </x:c>
      <x:c r="C76" s="12" t="str">
        <x:v>circle</x:v>
      </x:c>
      <x:c r="D76" s="12" t="str">
        <x:v>Extract</x:v>
      </x:c>
      <x:c r="E76" s="13" t="str">
        <x:v>Bihar Sharif</x:v>
      </x:c>
      <x:c r="F76" s="14" t="n">
        <x:v>1</x:v>
      </x:c>
      <x:c r="G76" s="12" t="str">
        <x:v>Anchal / circle: Bihar Sharif</x:v>
      </x:c>
      <x:c r="H76" s="15"/>
      <x:c r="I76" s="16"/>
      <x:c r="J76" s="17"/>
      <x:c r="K76" s="17"/>
      <x:c r="L76" s="17"/>
      <x:c r="M76" s="17"/>
      <x:c r="N76" s="12" t="str">
        <x:v>BV03-01-sale-deed.pdf</x:v>
      </x:c>
      <x:c r="O76" s="12" t="str">
        <x:v>clear</x:v>
      </x:c>
    </x:row>
    <x:row r="77" ht="60" customHeight="1">
      <x:c r="A77" s="12" t="str">
        <x:v>BV03</x:v>
      </x:c>
      <x:c r="B77" s="12" t="str">
        <x:v>BV03-D1</x:v>
      </x:c>
      <x:c r="C77" s="12" t="str">
        <x:v>mauza</x:v>
      </x:c>
      <x:c r="D77" s="12" t="str">
        <x:v>Extract</x:v>
      </x:c>
      <x:c r="E77" s="13" t="str">
        <x:v>Prerna Demo Mauza</x:v>
      </x:c>
      <x:c r="F77" s="14" t="n">
        <x:v>1</x:v>
      </x:c>
      <x:c r="G77" s="12" t="str">
        <x:v>Mauza (fictional village): Prerna Demo Mauza</x:v>
      </x:c>
      <x:c r="H77" s="15"/>
      <x:c r="I77" s="16"/>
      <x:c r="J77" s="17"/>
      <x:c r="K77" s="17"/>
      <x:c r="L77" s="17"/>
      <x:c r="M77" s="17"/>
      <x:c r="N77" s="12" t="str">
        <x:v>BV03-01-sale-deed.pdf</x:v>
      </x:c>
      <x:c r="O77" s="12" t="str">
        <x:v>clear</x:v>
      </x:c>
    </x:row>
    <x:row r="78" ht="60" customHeight="1">
      <x:c r="A78" s="12" t="str">
        <x:v>BV03</x:v>
      </x:c>
      <x:c r="B78" s="12" t="str">
        <x:v>BV03-D1</x:v>
      </x:c>
      <x:c r="C78" s="12" t="str">
        <x:v>thana</x:v>
      </x:c>
      <x:c r="D78" s="12" t="str">
        <x:v>Omit</x:v>
      </x:c>
      <x:c r="E78" s="13"/>
      <x:c r="F78" s="14"/>
      <x:c r="G78" s="12"/>
      <x:c r="H78" s="15"/>
      <x:c r="I78" s="16"/>
      <x:c r="J78" s="17"/>
      <x:c r="K78" s="17"/>
      <x:c r="L78" s="17"/>
      <x:c r="M78" s="17"/>
      <x:c r="N78" s="12" t="str">
        <x:v>BV03-01-sale-deed.pdf</x:v>
      </x:c>
      <x:c r="O78" s="12" t="str">
        <x:v>Not stated in this file</x:v>
      </x:c>
    </x:row>
    <x:row r="79" ht="60" customHeight="1">
      <x:c r="A79" s="12" t="str">
        <x:v>BV03</x:v>
      </x:c>
      <x:c r="B79" s="12" t="str">
        <x:v>BV03-D1</x:v>
      </x:c>
      <x:c r="C79" s="12" t="str">
        <x:v>khata</x:v>
      </x:c>
      <x:c r="D79" s="12" t="str">
        <x:v>Extract</x:v>
      </x:c>
      <x:c r="E79" s="24" t="str">
        <x:v>0063</x:v>
      </x:c>
      <x:c r="F79" s="14" t="n">
        <x:v>1</x:v>
      </x:c>
      <x:c r="G79" s="12" t="str">
        <x:v>Khata: 0063</x:v>
      </x:c>
      <x:c r="H79" s="15"/>
      <x:c r="I79" s="16"/>
      <x:c r="J79" s="17"/>
      <x:c r="K79" s="17"/>
      <x:c r="L79" s="17"/>
      <x:c r="M79" s="17"/>
      <x:c r="N79" s="12" t="str">
        <x:v>BV03-01-sale-deed.pdf</x:v>
      </x:c>
      <x:c r="O79" s="12" t="str">
        <x:v>clear</x:v>
      </x:c>
    </x:row>
    <x:row r="80" ht="60" customHeight="1">
      <x:c r="A80" s="12" t="str">
        <x:v>BV03</x:v>
      </x:c>
      <x:c r="B80" s="12" t="str">
        <x:v>BV03-D1</x:v>
      </x:c>
      <x:c r="C80" s="12" t="str">
        <x:v>khesra</x:v>
      </x:c>
      <x:c r="D80" s="12" t="str">
        <x:v>Extract</x:v>
      </x:c>
      <x:c r="E80" s="24" t="str">
        <x:v>0284</x:v>
      </x:c>
      <x:c r="F80" s="14" t="n">
        <x:v>1</x:v>
      </x:c>
      <x:c r="G80" s="12" t="str">
        <x:v>Khesra: 0284</x:v>
      </x:c>
      <x:c r="H80" s="15"/>
      <x:c r="I80" s="16"/>
      <x:c r="J80" s="17"/>
      <x:c r="K80" s="17"/>
      <x:c r="L80" s="17"/>
      <x:c r="M80" s="17"/>
      <x:c r="N80" s="12" t="str">
        <x:v>BV03-01-sale-deed.pdf</x:v>
      </x:c>
      <x:c r="O80" s="12" t="str">
        <x:v>clear</x:v>
      </x:c>
    </x:row>
    <x:row r="81" ht="60" customHeight="1">
      <x:c r="A81" s="12" t="str">
        <x:v>BV03</x:v>
      </x:c>
      <x:c r="B81" s="12" t="str">
        <x:v>BV03-D1</x:v>
      </x:c>
      <x:c r="C81" s="12" t="str">
        <x:v>jamabandi</x:v>
      </x:c>
      <x:c r="D81" s="12" t="str">
        <x:v>Omit</x:v>
      </x:c>
      <x:c r="E81" s="13"/>
      <x:c r="F81" s="14"/>
      <x:c r="G81" s="12"/>
      <x:c r="H81" s="15"/>
      <x:c r="I81" s="16"/>
      <x:c r="J81" s="17"/>
      <x:c r="K81" s="17"/>
      <x:c r="L81" s="17"/>
      <x:c r="M81" s="17"/>
      <x:c r="N81" s="12" t="str">
        <x:v>BV03-01-sale-deed.pdf</x:v>
      </x:c>
      <x:c r="O81" s="12" t="str">
        <x:v>Not stated in this file</x:v>
      </x:c>
    </x:row>
    <x:row r="82" ht="60" customHeight="1">
      <x:c r="A82" s="12" t="str">
        <x:v>BV03</x:v>
      </x:c>
      <x:c r="B82" s="12" t="str">
        <x:v>BV03-D1</x:v>
      </x:c>
      <x:c r="C82" s="12" t="str">
        <x:v>area</x:v>
      </x:c>
      <x:c r="D82" s="12" t="str">
        <x:v>Extract</x:v>
      </x:c>
      <x:c r="E82" s="13" t="str">
        <x:v>0.25</x:v>
      </x:c>
      <x:c r="F82" s="14" t="n">
        <x:v>1</x:v>
      </x:c>
      <x:c r="G82" s="12" t="str">
        <x:v>Area: 0.25</x:v>
      </x:c>
      <x:c r="H82" s="15"/>
      <x:c r="I82" s="16"/>
      <x:c r="J82" s="17"/>
      <x:c r="K82" s="17"/>
      <x:c r="L82" s="17"/>
      <x:c r="M82" s="17"/>
      <x:c r="N82" s="12" t="str">
        <x:v>BV03-01-sale-deed.pdf</x:v>
      </x:c>
      <x:c r="O82" s="12" t="str">
        <x:v>clear</x:v>
      </x:c>
    </x:row>
    <x:row r="83" ht="60" customHeight="1">
      <x:c r="A83" s="12" t="str">
        <x:v>BV03</x:v>
      </x:c>
      <x:c r="B83" s="12" t="str">
        <x:v>BV03-D1</x:v>
      </x:c>
      <x:c r="C83" s="12" t="str">
        <x:v>areaUnit</x:v>
      </x:c>
      <x:c r="D83" s="12" t="str">
        <x:v>Extract</x:v>
      </x:c>
      <x:c r="E83" s="13" t="str">
        <x:v>acre</x:v>
      </x:c>
      <x:c r="F83" s="14" t="n">
        <x:v>1</x:v>
      </x:c>
      <x:c r="G83" s="12" t="str">
        <x:v>Area unit: acre</x:v>
      </x:c>
      <x:c r="H83" s="15"/>
      <x:c r="I83" s="16"/>
      <x:c r="J83" s="17"/>
      <x:c r="K83" s="17"/>
      <x:c r="L83" s="17"/>
      <x:c r="M83" s="17"/>
      <x:c r="N83" s="12" t="str">
        <x:v>BV03-01-sale-deed.pdf</x:v>
      </x:c>
      <x:c r="O83" s="12" t="str">
        <x:v>clear</x:v>
      </x:c>
    </x:row>
    <x:row r="84" ht="60" customHeight="1">
      <x:c r="A84" s="12" t="str">
        <x:v>BV03</x:v>
      </x:c>
      <x:c r="B84" s="12" t="str">
        <x:v>BV03-D1</x:v>
      </x:c>
      <x:c r="C84" s="12" t="str">
        <x:v>date</x:v>
      </x:c>
      <x:c r="D84" s="12" t="str">
        <x:v>Extract</x:v>
      </x:c>
      <x:c r="E84" s="13" t="str">
        <x:v>2022-11-21</x:v>
      </x:c>
      <x:c r="F84" s="14" t="n">
        <x:v>1</x:v>
      </x:c>
      <x:c r="G84" s="12" t="str">
        <x:v>Document date: 2022-11-21</x:v>
      </x:c>
      <x:c r="H84" s="15"/>
      <x:c r="I84" s="16"/>
      <x:c r="J84" s="17"/>
      <x:c r="K84" s="17"/>
      <x:c r="L84" s="17"/>
      <x:c r="M84" s="17"/>
      <x:c r="N84" s="12" t="str">
        <x:v>BV03-01-sale-deed.pdf</x:v>
      </x:c>
      <x:c r="O84" s="12" t="str">
        <x:v>clear</x:v>
      </x:c>
    </x:row>
    <x:row r="85" ht="60" customHeight="1">
      <x:c r="A85" s="12" t="str">
        <x:v>BV03</x:v>
      </x:c>
      <x:c r="B85" s="12" t="str">
        <x:v>BV03-D1</x:v>
      </x:c>
      <x:c r="C85" s="12" t="str">
        <x:v>mutationStatus</x:v>
      </x:c>
      <x:c r="D85" s="12" t="str">
        <x:v>Omit</x:v>
      </x:c>
      <x:c r="E85" s="13"/>
      <x:c r="F85" s="14"/>
      <x:c r="G85" s="12"/>
      <x:c r="H85" s="15"/>
      <x:c r="I85" s="16"/>
      <x:c r="J85" s="17"/>
      <x:c r="K85" s="17"/>
      <x:c r="L85" s="17"/>
      <x:c r="M85" s="17"/>
      <x:c r="N85" s="12" t="str">
        <x:v>BV03-01-sale-deed.pdf</x:v>
      </x:c>
      <x:c r="O85" s="12" t="str">
        <x:v>Not stated in this file</x:v>
      </x:c>
    </x:row>
    <x:row r="86" ht="60" customHeight="1">
      <x:c r="A86" s="12" t="str">
        <x:v>BV03</x:v>
      </x:c>
      <x:c r="B86" s="12" t="str">
        <x:v>BV03-D1</x:v>
      </x:c>
      <x:c r="C86" s="12" t="str">
        <x:v>mortgage</x:v>
      </x:c>
      <x:c r="D86" s="12" t="str">
        <x:v>Omit</x:v>
      </x:c>
      <x:c r="E86" s="13"/>
      <x:c r="F86" s="14"/>
      <x:c r="G86" s="12"/>
      <x:c r="H86" s="15"/>
      <x:c r="I86" s="16"/>
      <x:c r="J86" s="17"/>
      <x:c r="K86" s="17"/>
      <x:c r="L86" s="17"/>
      <x:c r="M86" s="17"/>
      <x:c r="N86" s="12" t="str">
        <x:v>BV03-01-sale-deed.pdf</x:v>
      </x:c>
      <x:c r="O86" s="12" t="str">
        <x:v>Not stated in this file</x:v>
      </x:c>
    </x:row>
    <x:row r="87" ht="60" customHeight="1">
      <x:c r="A87" s="12" t="str">
        <x:v>BV03</x:v>
      </x:c>
      <x:c r="B87" s="12" t="str">
        <x:v>BV03-D1</x:v>
      </x:c>
      <x:c r="C87" s="12" t="str">
        <x:v>boundaries</x:v>
      </x:c>
      <x:c r="D87" s="12" t="str">
        <x:v>Omit</x:v>
      </x:c>
      <x:c r="E87" s="13"/>
      <x:c r="F87" s="14"/>
      <x:c r="G87" s="12"/>
      <x:c r="H87" s="15"/>
      <x:c r="I87" s="16"/>
      <x:c r="J87" s="17"/>
      <x:c r="K87" s="17"/>
      <x:c r="L87" s="17"/>
      <x:c r="M87" s="17"/>
      <x:c r="N87" s="12" t="str">
        <x:v>BV03-01-sale-deed.pdf</x:v>
      </x:c>
      <x:c r="O87" s="12" t="str">
        <x:v>Not stated in this file</x:v>
      </x:c>
    </x:row>
    <x:row r="88" ht="60" customHeight="1">
      <x:c r="A88" s="18" t="str">
        <x:v>BV03</x:v>
      </x:c>
      <x:c r="B88" s="18" t="str">
        <x:v>BV03-D2</x:v>
      </x:c>
      <x:c r="C88" s="18" t="str">
        <x:v>owner</x:v>
      </x:c>
      <x:c r="D88" s="18" t="str">
        <x:v>Extract</x:v>
      </x:c>
      <x:c r="E88" s="19" t="str">
        <x:v>Sana Demo</x:v>
      </x:c>
      <x:c r="F88" s="20" t="n">
        <x:v>1</x:v>
      </x:c>
      <x:c r="G88" s="18" t="str">
        <x:v>Recorded owner: Sana Demo</x:v>
      </x:c>
      <x:c r="H88" s="21"/>
      <x:c r="I88" s="22"/>
      <x:c r="J88" s="23"/>
      <x:c r="K88" s="23"/>
      <x:c r="L88" s="23"/>
      <x:c r="M88" s="23"/>
      <x:c r="N88" s="18" t="str">
        <x:v>BV03-02-jamabandi.pdf</x:v>
      </x:c>
      <x:c r="O88" s="18" t="str">
        <x:v>clear</x:v>
      </x:c>
    </x:row>
    <x:row r="89" ht="60" customHeight="1">
      <x:c r="A89" s="12" t="str">
        <x:v>BV03</x:v>
      </x:c>
      <x:c r="B89" s="12" t="str">
        <x:v>BV03-D2</x:v>
      </x:c>
      <x:c r="C89" s="12" t="str">
        <x:v>seller</x:v>
      </x:c>
      <x:c r="D89" s="12" t="str">
        <x:v>Omit</x:v>
      </x:c>
      <x:c r="E89" s="13"/>
      <x:c r="F89" s="14"/>
      <x:c r="G89" s="12"/>
      <x:c r="H89" s="15"/>
      <x:c r="I89" s="16"/>
      <x:c r="J89" s="17"/>
      <x:c r="K89" s="17"/>
      <x:c r="L89" s="17"/>
      <x:c r="M89" s="17"/>
      <x:c r="N89" s="12" t="str">
        <x:v>BV03-02-jamabandi.pdf</x:v>
      </x:c>
      <x:c r="O89" s="12" t="str">
        <x:v>Not stated in this file</x:v>
      </x:c>
    </x:row>
    <x:row r="90" ht="60" customHeight="1">
      <x:c r="A90" s="12" t="str">
        <x:v>BV03</x:v>
      </x:c>
      <x:c r="B90" s="12" t="str">
        <x:v>BV03-D2</x:v>
      </x:c>
      <x:c r="C90" s="12" t="str">
        <x:v>buyer</x:v>
      </x:c>
      <x:c r="D90" s="12" t="str">
        <x:v>Omit</x:v>
      </x:c>
      <x:c r="E90" s="13"/>
      <x:c r="F90" s="14"/>
      <x:c r="G90" s="12"/>
      <x:c r="H90" s="15"/>
      <x:c r="I90" s="16"/>
      <x:c r="J90" s="17"/>
      <x:c r="K90" s="17"/>
      <x:c r="L90" s="17"/>
      <x:c r="M90" s="17"/>
      <x:c r="N90" s="12" t="str">
        <x:v>BV03-02-jamabandi.pdf</x:v>
      </x:c>
      <x:c r="O90" s="12" t="str">
        <x:v>Not stated in this file</x:v>
      </x:c>
    </x:row>
    <x:row r="91" ht="60" customHeight="1">
      <x:c r="A91" s="12" t="str">
        <x:v>BV03</x:v>
      </x:c>
      <x:c r="B91" s="12" t="str">
        <x:v>BV03-D2</x:v>
      </x:c>
      <x:c r="C91" s="12" t="str">
        <x:v>district</x:v>
      </x:c>
      <x:c r="D91" s="12" t="str">
        <x:v>Extract</x:v>
      </x:c>
      <x:c r="E91" s="13" t="str">
        <x:v>Nalanda</x:v>
      </x:c>
      <x:c r="F91" s="14" t="n">
        <x:v>1</x:v>
      </x:c>
      <x:c r="G91" s="12" t="str">
        <x:v>District: Nalanda</x:v>
      </x:c>
      <x:c r="H91" s="15"/>
      <x:c r="I91" s="16"/>
      <x:c r="J91" s="17"/>
      <x:c r="K91" s="17"/>
      <x:c r="L91" s="17"/>
      <x:c r="M91" s="17"/>
      <x:c r="N91" s="12" t="str">
        <x:v>BV03-02-jamabandi.pdf</x:v>
      </x:c>
      <x:c r="O91" s="12" t="str">
        <x:v>clear</x:v>
      </x:c>
    </x:row>
    <x:row r="92" ht="60" customHeight="1">
      <x:c r="A92" s="12" t="str">
        <x:v>BV03</x:v>
      </x:c>
      <x:c r="B92" s="12" t="str">
        <x:v>BV03-D2</x:v>
      </x:c>
      <x:c r="C92" s="12" t="str">
        <x:v>circle</x:v>
      </x:c>
      <x:c r="D92" s="12" t="str">
        <x:v>Extract</x:v>
      </x:c>
      <x:c r="E92" s="13" t="str">
        <x:v>Bihar Sharif</x:v>
      </x:c>
      <x:c r="F92" s="14" t="n">
        <x:v>1</x:v>
      </x:c>
      <x:c r="G92" s="12" t="str">
        <x:v>Anchal / circle: Bihar Sharif</x:v>
      </x:c>
      <x:c r="H92" s="15"/>
      <x:c r="I92" s="16"/>
      <x:c r="J92" s="17"/>
      <x:c r="K92" s="17"/>
      <x:c r="L92" s="17"/>
      <x:c r="M92" s="17"/>
      <x:c r="N92" s="12" t="str">
        <x:v>BV03-02-jamabandi.pdf</x:v>
      </x:c>
      <x:c r="O92" s="12" t="str">
        <x:v>clear</x:v>
      </x:c>
    </x:row>
    <x:row r="93" ht="60" customHeight="1">
      <x:c r="A93" s="12" t="str">
        <x:v>BV03</x:v>
      </x:c>
      <x:c r="B93" s="12" t="str">
        <x:v>BV03-D2</x:v>
      </x:c>
      <x:c r="C93" s="12" t="str">
        <x:v>mauza</x:v>
      </x:c>
      <x:c r="D93" s="12" t="str">
        <x:v>Extract</x:v>
      </x:c>
      <x:c r="E93" s="13" t="str">
        <x:v>Prerna Demo Mauza</x:v>
      </x:c>
      <x:c r="F93" s="14" t="n">
        <x:v>1</x:v>
      </x:c>
      <x:c r="G93" s="12" t="str">
        <x:v>Mauza (fictional village): Prerna Demo Mauza</x:v>
      </x:c>
      <x:c r="H93" s="15"/>
      <x:c r="I93" s="16"/>
      <x:c r="J93" s="17"/>
      <x:c r="K93" s="17"/>
      <x:c r="L93" s="17"/>
      <x:c r="M93" s="17"/>
      <x:c r="N93" s="12" t="str">
        <x:v>BV03-02-jamabandi.pdf</x:v>
      </x:c>
      <x:c r="O93" s="12" t="str">
        <x:v>clear</x:v>
      </x:c>
    </x:row>
    <x:row r="94" ht="60" customHeight="1">
      <x:c r="A94" s="12" t="str">
        <x:v>BV03</x:v>
      </x:c>
      <x:c r="B94" s="12" t="str">
        <x:v>BV03-D2</x:v>
      </x:c>
      <x:c r="C94" s="12" t="str">
        <x:v>thana</x:v>
      </x:c>
      <x:c r="D94" s="12" t="str">
        <x:v>Omit</x:v>
      </x:c>
      <x:c r="E94" s="13"/>
      <x:c r="F94" s="14"/>
      <x:c r="G94" s="12"/>
      <x:c r="H94" s="15"/>
      <x:c r="I94" s="16"/>
      <x:c r="J94" s="17"/>
      <x:c r="K94" s="17"/>
      <x:c r="L94" s="17"/>
      <x:c r="M94" s="17"/>
      <x:c r="N94" s="12" t="str">
        <x:v>BV03-02-jamabandi.pdf</x:v>
      </x:c>
      <x:c r="O94" s="12" t="str">
        <x:v>Not stated in this file</x:v>
      </x:c>
    </x:row>
    <x:row r="95" ht="60" customHeight="1">
      <x:c r="A95" s="12" t="str">
        <x:v>BV03</x:v>
      </x:c>
      <x:c r="B95" s="12" t="str">
        <x:v>BV03-D2</x:v>
      </x:c>
      <x:c r="C95" s="12" t="str">
        <x:v>khata</x:v>
      </x:c>
      <x:c r="D95" s="12" t="str">
        <x:v>Extract</x:v>
      </x:c>
      <x:c r="E95" s="24" t="str">
        <x:v>0063</x:v>
      </x:c>
      <x:c r="F95" s="14" t="n">
        <x:v>1</x:v>
      </x:c>
      <x:c r="G95" s="12" t="str">
        <x:v>Khata: 0063</x:v>
      </x:c>
      <x:c r="H95" s="15"/>
      <x:c r="I95" s="16"/>
      <x:c r="J95" s="17"/>
      <x:c r="K95" s="17"/>
      <x:c r="L95" s="17"/>
      <x:c r="M95" s="17"/>
      <x:c r="N95" s="12" t="str">
        <x:v>BV03-02-jamabandi.pdf</x:v>
      </x:c>
      <x:c r="O95" s="12" t="str">
        <x:v>clear</x:v>
      </x:c>
    </x:row>
    <x:row r="96" ht="60" customHeight="1">
      <x:c r="A96" s="12" t="str">
        <x:v>BV03</x:v>
      </x:c>
      <x:c r="B96" s="12" t="str">
        <x:v>BV03-D2</x:v>
      </x:c>
      <x:c r="C96" s="12" t="str">
        <x:v>khesra</x:v>
      </x:c>
      <x:c r="D96" s="12" t="str">
        <x:v>Extract</x:v>
      </x:c>
      <x:c r="E96" s="24" t="str">
        <x:v>0284</x:v>
      </x:c>
      <x:c r="F96" s="14" t="n">
        <x:v>1</x:v>
      </x:c>
      <x:c r="G96" s="12" t="str">
        <x:v>Khesra: 0284</x:v>
      </x:c>
      <x:c r="H96" s="15"/>
      <x:c r="I96" s="16"/>
      <x:c r="J96" s="17"/>
      <x:c r="K96" s="17"/>
      <x:c r="L96" s="17"/>
      <x:c r="M96" s="17"/>
      <x:c r="N96" s="12" t="str">
        <x:v>BV03-02-jamabandi.pdf</x:v>
      </x:c>
      <x:c r="O96" s="12" t="str">
        <x:v>clear</x:v>
      </x:c>
    </x:row>
    <x:row r="97" ht="60" customHeight="1">
      <x:c r="A97" s="12" t="str">
        <x:v>BV03</x:v>
      </x:c>
      <x:c r="B97" s="12" t="str">
        <x:v>BV03-D2</x:v>
      </x:c>
      <x:c r="C97" s="12" t="str">
        <x:v>jamabandi</x:v>
      </x:c>
      <x:c r="D97" s="12" t="str">
        <x:v>Extract</x:v>
      </x:c>
      <x:c r="E97" s="13" t="str">
        <x:v>DEMO-JB-303</x:v>
      </x:c>
      <x:c r="F97" s="14" t="n">
        <x:v>1</x:v>
      </x:c>
      <x:c r="G97" s="12" t="str">
        <x:v>Jamabandi reference: DEMO-JB-303</x:v>
      </x:c>
      <x:c r="H97" s="15"/>
      <x:c r="I97" s="16"/>
      <x:c r="J97" s="17"/>
      <x:c r="K97" s="17"/>
      <x:c r="L97" s="17"/>
      <x:c r="M97" s="17"/>
      <x:c r="N97" s="12" t="str">
        <x:v>BV03-02-jamabandi.pdf</x:v>
      </x:c>
      <x:c r="O97" s="12" t="str">
        <x:v>clear</x:v>
      </x:c>
    </x:row>
    <x:row r="98" ht="60" customHeight="1">
      <x:c r="A98" s="12" t="str">
        <x:v>BV03</x:v>
      </x:c>
      <x:c r="B98" s="12" t="str">
        <x:v>BV03-D2</x:v>
      </x:c>
      <x:c r="C98" s="12" t="str">
        <x:v>area</x:v>
      </x:c>
      <x:c r="D98" s="12" t="str">
        <x:v>Extract</x:v>
      </x:c>
      <x:c r="E98" s="13" t="str">
        <x:v>25</x:v>
      </x:c>
      <x:c r="F98" s="14" t="n">
        <x:v>1</x:v>
      </x:c>
      <x:c r="G98" s="12" t="str">
        <x:v>Area: 25</x:v>
      </x:c>
      <x:c r="H98" s="15"/>
      <x:c r="I98" s="16"/>
      <x:c r="J98" s="17"/>
      <x:c r="K98" s="17"/>
      <x:c r="L98" s="17"/>
      <x:c r="M98" s="17"/>
      <x:c r="N98" s="12" t="str">
        <x:v>BV03-02-jamabandi.pdf</x:v>
      </x:c>
      <x:c r="O98" s="12" t="str">
        <x:v>clear</x:v>
      </x:c>
    </x:row>
    <x:row r="99" ht="60" customHeight="1">
      <x:c r="A99" s="12" t="str">
        <x:v>BV03</x:v>
      </x:c>
      <x:c r="B99" s="12" t="str">
        <x:v>BV03-D2</x:v>
      </x:c>
      <x:c r="C99" s="12" t="str">
        <x:v>areaUnit</x:v>
      </x:c>
      <x:c r="D99" s="12" t="str">
        <x:v>Extract</x:v>
      </x:c>
      <x:c r="E99" s="13" t="str">
        <x:v>decimal</x:v>
      </x:c>
      <x:c r="F99" s="14" t="n">
        <x:v>1</x:v>
      </x:c>
      <x:c r="G99" s="12" t="str">
        <x:v>Area unit: decimal</x:v>
      </x:c>
      <x:c r="H99" s="15"/>
      <x:c r="I99" s="16"/>
      <x:c r="J99" s="17"/>
      <x:c r="K99" s="17"/>
      <x:c r="L99" s="17"/>
      <x:c r="M99" s="17"/>
      <x:c r="N99" s="12" t="str">
        <x:v>BV03-02-jamabandi.pdf</x:v>
      </x:c>
      <x:c r="O99" s="12" t="str">
        <x:v>clear</x:v>
      </x:c>
    </x:row>
    <x:row r="100" ht="60" customHeight="1">
      <x:c r="A100" s="12" t="str">
        <x:v>BV03</x:v>
      </x:c>
      <x:c r="B100" s="12" t="str">
        <x:v>BV03-D2</x:v>
      </x:c>
      <x:c r="C100" s="12" t="str">
        <x:v>date</x:v>
      </x:c>
      <x:c r="D100" s="12" t="str">
        <x:v>Extract</x:v>
      </x:c>
      <x:c r="E100" s="13" t="str">
        <x:v>2023-03-07</x:v>
      </x:c>
      <x:c r="F100" s="14" t="n">
        <x:v>1</x:v>
      </x:c>
      <x:c r="G100" s="12" t="str">
        <x:v>Document date: 2023-03-07</x:v>
      </x:c>
      <x:c r="H100" s="15"/>
      <x:c r="I100" s="16"/>
      <x:c r="J100" s="17"/>
      <x:c r="K100" s="17"/>
      <x:c r="L100" s="17"/>
      <x:c r="M100" s="17"/>
      <x:c r="N100" s="12" t="str">
        <x:v>BV03-02-jamabandi.pdf</x:v>
      </x:c>
      <x:c r="O100" s="12" t="str">
        <x:v>clear</x:v>
      </x:c>
    </x:row>
    <x:row r="101" ht="60" customHeight="1">
      <x:c r="A101" s="12" t="str">
        <x:v>BV03</x:v>
      </x:c>
      <x:c r="B101" s="12" t="str">
        <x:v>BV03-D2</x:v>
      </x:c>
      <x:c r="C101" s="12" t="str">
        <x:v>mutationStatus</x:v>
      </x:c>
      <x:c r="D101" s="12" t="str">
        <x:v>Omit</x:v>
      </x:c>
      <x:c r="E101" s="13"/>
      <x:c r="F101" s="14"/>
      <x:c r="G101" s="12"/>
      <x:c r="H101" s="15"/>
      <x:c r="I101" s="16"/>
      <x:c r="J101" s="17"/>
      <x:c r="K101" s="17"/>
      <x:c r="L101" s="17"/>
      <x:c r="M101" s="17"/>
      <x:c r="N101" s="12" t="str">
        <x:v>BV03-02-jamabandi.pdf</x:v>
      </x:c>
      <x:c r="O101" s="12" t="str">
        <x:v>Not stated in this file</x:v>
      </x:c>
    </x:row>
    <x:row r="102" ht="60" customHeight="1">
      <x:c r="A102" s="12" t="str">
        <x:v>BV03</x:v>
      </x:c>
      <x:c r="B102" s="12" t="str">
        <x:v>BV03-D2</x:v>
      </x:c>
      <x:c r="C102" s="12" t="str">
        <x:v>mortgage</x:v>
      </x:c>
      <x:c r="D102" s="12" t="str">
        <x:v>Omit</x:v>
      </x:c>
      <x:c r="E102" s="13"/>
      <x:c r="F102" s="14"/>
      <x:c r="G102" s="12"/>
      <x:c r="H102" s="15"/>
      <x:c r="I102" s="16"/>
      <x:c r="J102" s="17"/>
      <x:c r="K102" s="17"/>
      <x:c r="L102" s="17"/>
      <x:c r="M102" s="17"/>
      <x:c r="N102" s="12" t="str">
        <x:v>BV03-02-jamabandi.pdf</x:v>
      </x:c>
      <x:c r="O102" s="12" t="str">
        <x:v>Not stated in this file</x:v>
      </x:c>
    </x:row>
    <x:row r="103" ht="60" customHeight="1">
      <x:c r="A103" s="12" t="str">
        <x:v>BV03</x:v>
      </x:c>
      <x:c r="B103" s="12" t="str">
        <x:v>BV03-D2</x:v>
      </x:c>
      <x:c r="C103" s="12" t="str">
        <x:v>boundaries</x:v>
      </x:c>
      <x:c r="D103" s="12" t="str">
        <x:v>Omit</x:v>
      </x:c>
      <x:c r="E103" s="13"/>
      <x:c r="F103" s="14"/>
      <x:c r="G103" s="12"/>
      <x:c r="H103" s="15"/>
      <x:c r="I103" s="16"/>
      <x:c r="J103" s="17"/>
      <x:c r="K103" s="17"/>
      <x:c r="L103" s="17"/>
      <x:c r="M103" s="17"/>
      <x:c r="N103" s="12" t="str">
        <x:v>BV03-02-jamabandi.pdf</x:v>
      </x:c>
      <x:c r="O103" s="12" t="str">
        <x:v>Not stated in this file</x:v>
      </x:c>
    </x:row>
    <x:row r="104" ht="60" customHeight="1">
      <x:c r="A104" s="18" t="str">
        <x:v>BV04</x:v>
      </x:c>
      <x:c r="B104" s="18" t="str">
        <x:v>BV04-D1</x:v>
      </x:c>
      <x:c r="C104" s="18" t="str">
        <x:v>owner</x:v>
      </x:c>
      <x:c r="D104" s="18" t="str">
        <x:v>Omit</x:v>
      </x:c>
      <x:c r="E104" s="19"/>
      <x:c r="F104" s="20"/>
      <x:c r="G104" s="18"/>
      <x:c r="H104" s="21"/>
      <x:c r="I104" s="22"/>
      <x:c r="J104" s="23"/>
      <x:c r="K104" s="23"/>
      <x:c r="L104" s="23"/>
      <x:c r="M104" s="23"/>
      <x:c r="N104" s="18" t="str">
        <x:v>BV04-01-sale-deed.pdf</x:v>
      </x:c>
      <x:c r="O104" s="18" t="str">
        <x:v>Not stated in this file</x:v>
      </x:c>
    </x:row>
    <x:row r="105" ht="60" customHeight="1">
      <x:c r="A105" s="12" t="str">
        <x:v>BV04</x:v>
      </x:c>
      <x:c r="B105" s="12" t="str">
        <x:v>BV04-D1</x:v>
      </x:c>
      <x:c r="C105" s="12" t="str">
        <x:v>seller</x:v>
      </x:c>
      <x:c r="D105" s="12" t="str">
        <x:v>Extract</x:v>
      </x:c>
      <x:c r="E105" s="13" t="str">
        <x:v>Dev Demo</x:v>
      </x:c>
      <x:c r="F105" s="14" t="n">
        <x:v>1</x:v>
      </x:c>
      <x:c r="G105" s="12" t="str">
        <x:v>Seller: Dev Demo</x:v>
      </x:c>
      <x:c r="H105" s="15"/>
      <x:c r="I105" s="16"/>
      <x:c r="J105" s="17"/>
      <x:c r="K105" s="17"/>
      <x:c r="L105" s="17"/>
      <x:c r="M105" s="17"/>
      <x:c r="N105" s="12" t="str">
        <x:v>BV04-01-sale-deed.pdf</x:v>
      </x:c>
      <x:c r="O105" s="12" t="str">
        <x:v>clear</x:v>
      </x:c>
    </x:row>
    <x:row r="106" ht="60" customHeight="1">
      <x:c r="A106" s="12" t="str">
        <x:v>BV04</x:v>
      </x:c>
      <x:c r="B106" s="12" t="str">
        <x:v>BV04-D1</x:v>
      </x:c>
      <x:c r="C106" s="12" t="str">
        <x:v>buyer</x:v>
      </x:c>
      <x:c r="D106" s="12" t="str">
        <x:v>Extract</x:v>
      </x:c>
      <x:c r="E106" s="13" t="str">
        <x:v>Naina Demo</x:v>
      </x:c>
      <x:c r="F106" s="14" t="n">
        <x:v>1</x:v>
      </x:c>
      <x:c r="G106" s="12" t="str">
        <x:v>Buyer: Naina Demo</x:v>
      </x:c>
      <x:c r="H106" s="15"/>
      <x:c r="I106" s="16"/>
      <x:c r="J106" s="17"/>
      <x:c r="K106" s="17"/>
      <x:c r="L106" s="17"/>
      <x:c r="M106" s="17"/>
      <x:c r="N106" s="12" t="str">
        <x:v>BV04-01-sale-deed.pdf</x:v>
      </x:c>
      <x:c r="O106" s="12" t="str">
        <x:v>clear</x:v>
      </x:c>
    </x:row>
    <x:row r="107" ht="60" customHeight="1">
      <x:c r="A107" s="12" t="str">
        <x:v>BV04</x:v>
      </x:c>
      <x:c r="B107" s="12" t="str">
        <x:v>BV04-D1</x:v>
      </x:c>
      <x:c r="C107" s="12" t="str">
        <x:v>district</x:v>
      </x:c>
      <x:c r="D107" s="12" t="str">
        <x:v>Extract</x:v>
      </x:c>
      <x:c r="E107" s="13" t="str">
        <x:v>Muzaffarpur</x:v>
      </x:c>
      <x:c r="F107" s="14" t="n">
        <x:v>1</x:v>
      </x:c>
      <x:c r="G107" s="12" t="str">
        <x:v>District: Muzaffarpur</x:v>
      </x:c>
      <x:c r="H107" s="15"/>
      <x:c r="I107" s="16"/>
      <x:c r="J107" s="17"/>
      <x:c r="K107" s="17"/>
      <x:c r="L107" s="17"/>
      <x:c r="M107" s="17"/>
      <x:c r="N107" s="12" t="str">
        <x:v>BV04-01-sale-deed.pdf</x:v>
      </x:c>
      <x:c r="O107" s="12" t="str">
        <x:v>clear</x:v>
      </x:c>
    </x:row>
    <x:row r="108" ht="60" customHeight="1">
      <x:c r="A108" s="12" t="str">
        <x:v>BV04</x:v>
      </x:c>
      <x:c r="B108" s="12" t="str">
        <x:v>BV04-D1</x:v>
      </x:c>
      <x:c r="C108" s="12" t="str">
        <x:v>circle</x:v>
      </x:c>
      <x:c r="D108" s="12" t="str">
        <x:v>Extract</x:v>
      </x:c>
      <x:c r="E108" s="13" t="str">
        <x:v>Mushahari</x:v>
      </x:c>
      <x:c r="F108" s="14" t="n">
        <x:v>1</x:v>
      </x:c>
      <x:c r="G108" s="12" t="str">
        <x:v>Anchal / circle: Mushahari</x:v>
      </x:c>
      <x:c r="H108" s="15"/>
      <x:c r="I108" s="16"/>
      <x:c r="J108" s="17"/>
      <x:c r="K108" s="17"/>
      <x:c r="L108" s="17"/>
      <x:c r="M108" s="17"/>
      <x:c r="N108" s="12" t="str">
        <x:v>BV04-01-sale-deed.pdf</x:v>
      </x:c>
      <x:c r="O108" s="12" t="str">
        <x:v>clear</x:v>
      </x:c>
    </x:row>
    <x:row r="109" ht="60" customHeight="1">
      <x:c r="A109" s="12" t="str">
        <x:v>BV04</x:v>
      </x:c>
      <x:c r="B109" s="12" t="str">
        <x:v>BV04-D1</x:v>
      </x:c>
      <x:c r="C109" s="12" t="str">
        <x:v>mauza</x:v>
      </x:c>
      <x:c r="D109" s="12" t="str">
        <x:v>Extract</x:v>
      </x:c>
      <x:c r="E109" s="13" t="str">
        <x:v>Savera Demo Mauza</x:v>
      </x:c>
      <x:c r="F109" s="14" t="n">
        <x:v>1</x:v>
      </x:c>
      <x:c r="G109" s="12" t="str">
        <x:v>Mauza (fictional village): Savera Demo Mauza</x:v>
      </x:c>
      <x:c r="H109" s="15"/>
      <x:c r="I109" s="16"/>
      <x:c r="J109" s="17"/>
      <x:c r="K109" s="17"/>
      <x:c r="L109" s="17"/>
      <x:c r="M109" s="17"/>
      <x:c r="N109" s="12" t="str">
        <x:v>BV04-01-sale-deed.pdf</x:v>
      </x:c>
      <x:c r="O109" s="12" t="str">
        <x:v>clear</x:v>
      </x:c>
    </x:row>
    <x:row r="110" ht="60" customHeight="1">
      <x:c r="A110" s="12" t="str">
        <x:v>BV04</x:v>
      </x:c>
      <x:c r="B110" s="12" t="str">
        <x:v>BV04-D1</x:v>
      </x:c>
      <x:c r="C110" s="12" t="str">
        <x:v>thana</x:v>
      </x:c>
      <x:c r="D110" s="12" t="str">
        <x:v>Omit</x:v>
      </x:c>
      <x:c r="E110" s="13"/>
      <x:c r="F110" s="14"/>
      <x:c r="G110" s="12"/>
      <x:c r="H110" s="15"/>
      <x:c r="I110" s="16"/>
      <x:c r="J110" s="17"/>
      <x:c r="K110" s="17"/>
      <x:c r="L110" s="17"/>
      <x:c r="M110" s="17"/>
      <x:c r="N110" s="12" t="str">
        <x:v>BV04-01-sale-deed.pdf</x:v>
      </x:c>
      <x:c r="O110" s="12" t="str">
        <x:v>Not stated in this file</x:v>
      </x:c>
    </x:row>
    <x:row r="111" ht="60" customHeight="1">
      <x:c r="A111" s="12" t="str">
        <x:v>BV04</x:v>
      </x:c>
      <x:c r="B111" s="12" t="str">
        <x:v>BV04-D1</x:v>
      </x:c>
      <x:c r="C111" s="12" t="str">
        <x:v>khata</x:v>
      </x:c>
      <x:c r="D111" s="12" t="str">
        <x:v>Extract</x:v>
      </x:c>
      <x:c r="E111" s="24" t="str">
        <x:v>0045</x:v>
      </x:c>
      <x:c r="F111" s="14" t="n">
        <x:v>1</x:v>
      </x:c>
      <x:c r="G111" s="12" t="str">
        <x:v>Khata: 0045</x:v>
      </x:c>
      <x:c r="H111" s="15"/>
      <x:c r="I111" s="16"/>
      <x:c r="J111" s="17"/>
      <x:c r="K111" s="17"/>
      <x:c r="L111" s="17"/>
      <x:c r="M111" s="17"/>
      <x:c r="N111" s="12" t="str">
        <x:v>BV04-01-sale-deed.pdf</x:v>
      </x:c>
      <x:c r="O111" s="12" t="str">
        <x:v>clear</x:v>
      </x:c>
    </x:row>
    <x:row r="112" ht="60" customHeight="1">
      <x:c r="A112" s="12" t="str">
        <x:v>BV04</x:v>
      </x:c>
      <x:c r="B112" s="12" t="str">
        <x:v>BV04-D1</x:v>
      </x:c>
      <x:c r="C112" s="12" t="str">
        <x:v>khesra</x:v>
      </x:c>
      <x:c r="D112" s="12" t="str">
        <x:v>Extract</x:v>
      </x:c>
      <x:c r="E112" s="24" t="str">
        <x:v>0712</x:v>
      </x:c>
      <x:c r="F112" s="14" t="n">
        <x:v>1</x:v>
      </x:c>
      <x:c r="G112" s="12" t="str">
        <x:v>Khesra: 0712</x:v>
      </x:c>
      <x:c r="H112" s="15"/>
      <x:c r="I112" s="16"/>
      <x:c r="J112" s="17"/>
      <x:c r="K112" s="17"/>
      <x:c r="L112" s="17"/>
      <x:c r="M112" s="17"/>
      <x:c r="N112" s="12" t="str">
        <x:v>BV04-01-sale-deed.pdf</x:v>
      </x:c>
      <x:c r="O112" s="12" t="str">
        <x:v>clear</x:v>
      </x:c>
    </x:row>
    <x:row r="113" ht="60" customHeight="1">
      <x:c r="A113" s="12" t="str">
        <x:v>BV04</x:v>
      </x:c>
      <x:c r="B113" s="12" t="str">
        <x:v>BV04-D1</x:v>
      </x:c>
      <x:c r="C113" s="12" t="str">
        <x:v>jamabandi</x:v>
      </x:c>
      <x:c r="D113" s="12" t="str">
        <x:v>Omit</x:v>
      </x:c>
      <x:c r="E113" s="13"/>
      <x:c r="F113" s="14"/>
      <x:c r="G113" s="12"/>
      <x:c r="H113" s="15"/>
      <x:c r="I113" s="16"/>
      <x:c r="J113" s="17"/>
      <x:c r="K113" s="17"/>
      <x:c r="L113" s="17"/>
      <x:c r="M113" s="17"/>
      <x:c r="N113" s="12" t="str">
        <x:v>BV04-01-sale-deed.pdf</x:v>
      </x:c>
      <x:c r="O113" s="12" t="str">
        <x:v>Not stated in this file</x:v>
      </x:c>
    </x:row>
    <x:row r="114" ht="60" customHeight="1">
      <x:c r="A114" s="12" t="str">
        <x:v>BV04</x:v>
      </x:c>
      <x:c r="B114" s="12" t="str">
        <x:v>BV04-D1</x:v>
      </x:c>
      <x:c r="C114" s="12" t="str">
        <x:v>area</x:v>
      </x:c>
      <x:c r="D114" s="12" t="str">
        <x:v>Extract</x:v>
      </x:c>
      <x:c r="E114" s="13" t="str">
        <x:v>14</x:v>
      </x:c>
      <x:c r="F114" s="14" t="n">
        <x:v>1</x:v>
      </x:c>
      <x:c r="G114" s="12" t="str">
        <x:v>Area: 14</x:v>
      </x:c>
      <x:c r="H114" s="15"/>
      <x:c r="I114" s="16"/>
      <x:c r="J114" s="17"/>
      <x:c r="K114" s="17"/>
      <x:c r="L114" s="17"/>
      <x:c r="M114" s="17"/>
      <x:c r="N114" s="12" t="str">
        <x:v>BV04-01-sale-deed.pdf</x:v>
      </x:c>
      <x:c r="O114" s="12" t="str">
        <x:v>clear</x:v>
      </x:c>
    </x:row>
    <x:row r="115" ht="60" customHeight="1">
      <x:c r="A115" s="12" t="str">
        <x:v>BV04</x:v>
      </x:c>
      <x:c r="B115" s="12" t="str">
        <x:v>BV04-D1</x:v>
      </x:c>
      <x:c r="C115" s="12" t="str">
        <x:v>areaUnit</x:v>
      </x:c>
      <x:c r="D115" s="12" t="str">
        <x:v>Extract</x:v>
      </x:c>
      <x:c r="E115" s="13" t="str">
        <x:v>decimal</x:v>
      </x:c>
      <x:c r="F115" s="14" t="n">
        <x:v>1</x:v>
      </x:c>
      <x:c r="G115" s="12" t="str">
        <x:v>Area unit: decimal</x:v>
      </x:c>
      <x:c r="H115" s="15"/>
      <x:c r="I115" s="16"/>
      <x:c r="J115" s="17"/>
      <x:c r="K115" s="17"/>
      <x:c r="L115" s="17"/>
      <x:c r="M115" s="17"/>
      <x:c r="N115" s="12" t="str">
        <x:v>BV04-01-sale-deed.pdf</x:v>
      </x:c>
      <x:c r="O115" s="12" t="str">
        <x:v>clear</x:v>
      </x:c>
    </x:row>
    <x:row r="116" ht="60" customHeight="1">
      <x:c r="A116" s="12" t="str">
        <x:v>BV04</x:v>
      </x:c>
      <x:c r="B116" s="12" t="str">
        <x:v>BV04-D1</x:v>
      </x:c>
      <x:c r="C116" s="12" t="str">
        <x:v>date</x:v>
      </x:c>
      <x:c r="D116" s="12" t="str">
        <x:v>Extract</x:v>
      </x:c>
      <x:c r="E116" s="13" t="str">
        <x:v>2024-03-18</x:v>
      </x:c>
      <x:c r="F116" s="14" t="n">
        <x:v>1</x:v>
      </x:c>
      <x:c r="G116" s="12" t="str">
        <x:v>Document date: 2024-03-18</x:v>
      </x:c>
      <x:c r="H116" s="15"/>
      <x:c r="I116" s="16"/>
      <x:c r="J116" s="17"/>
      <x:c r="K116" s="17"/>
      <x:c r="L116" s="17"/>
      <x:c r="M116" s="17"/>
      <x:c r="N116" s="12" t="str">
        <x:v>BV04-01-sale-deed.pdf</x:v>
      </x:c>
      <x:c r="O116" s="12" t="str">
        <x:v>clear</x:v>
      </x:c>
    </x:row>
    <x:row r="117" ht="60" customHeight="1">
      <x:c r="A117" s="12" t="str">
        <x:v>BV04</x:v>
      </x:c>
      <x:c r="B117" s="12" t="str">
        <x:v>BV04-D1</x:v>
      </x:c>
      <x:c r="C117" s="12" t="str">
        <x:v>mutationStatus</x:v>
      </x:c>
      <x:c r="D117" s="12" t="str">
        <x:v>Omit</x:v>
      </x:c>
      <x:c r="E117" s="13"/>
      <x:c r="F117" s="14"/>
      <x:c r="G117" s="12"/>
      <x:c r="H117" s="15"/>
      <x:c r="I117" s="16"/>
      <x:c r="J117" s="17"/>
      <x:c r="K117" s="17"/>
      <x:c r="L117" s="17"/>
      <x:c r="M117" s="17"/>
      <x:c r="N117" s="12" t="str">
        <x:v>BV04-01-sale-deed.pdf</x:v>
      </x:c>
      <x:c r="O117" s="12" t="str">
        <x:v>Not stated in this file</x:v>
      </x:c>
    </x:row>
    <x:row r="118" ht="60" customHeight="1">
      <x:c r="A118" s="12" t="str">
        <x:v>BV04</x:v>
      </x:c>
      <x:c r="B118" s="12" t="str">
        <x:v>BV04-D1</x:v>
      </x:c>
      <x:c r="C118" s="12" t="str">
        <x:v>mortgage</x:v>
      </x:c>
      <x:c r="D118" s="12" t="str">
        <x:v>Omit</x:v>
      </x:c>
      <x:c r="E118" s="13"/>
      <x:c r="F118" s="14"/>
      <x:c r="G118" s="12"/>
      <x:c r="H118" s="15"/>
      <x:c r="I118" s="16"/>
      <x:c r="J118" s="17"/>
      <x:c r="K118" s="17"/>
      <x:c r="L118" s="17"/>
      <x:c r="M118" s="17"/>
      <x:c r="N118" s="12" t="str">
        <x:v>BV04-01-sale-deed.pdf</x:v>
      </x:c>
      <x:c r="O118" s="12" t="str">
        <x:v>Not stated in this file</x:v>
      </x:c>
    </x:row>
    <x:row r="119" ht="60" customHeight="1">
      <x:c r="A119" s="12" t="str">
        <x:v>BV04</x:v>
      </x:c>
      <x:c r="B119" s="12" t="str">
        <x:v>BV04-D1</x:v>
      </x:c>
      <x:c r="C119" s="12" t="str">
        <x:v>boundaries</x:v>
      </x:c>
      <x:c r="D119" s="12" t="str">
        <x:v>Omit</x:v>
      </x:c>
      <x:c r="E119" s="13"/>
      <x:c r="F119" s="14"/>
      <x:c r="G119" s="12"/>
      <x:c r="H119" s="15"/>
      <x:c r="I119" s="16"/>
      <x:c r="J119" s="17"/>
      <x:c r="K119" s="17"/>
      <x:c r="L119" s="17"/>
      <x:c r="M119" s="17"/>
      <x:c r="N119" s="12" t="str">
        <x:v>BV04-01-sale-deed.pdf</x:v>
      </x:c>
      <x:c r="O119" s="12" t="str">
        <x:v>Not stated in this file</x:v>
      </x:c>
    </x:row>
    <x:row r="120" ht="60" customHeight="1">
      <x:c r="A120" s="18" t="str">
        <x:v>BV04</x:v>
      </x:c>
      <x:c r="B120" s="18" t="str">
        <x:v>BV04-D2</x:v>
      </x:c>
      <x:c r="C120" s="18" t="str">
        <x:v>owner</x:v>
      </x:c>
      <x:c r="D120" s="18" t="str">
        <x:v>Extract</x:v>
      </x:c>
      <x:c r="E120" s="19" t="str">
        <x:v>Naina Demo</x:v>
      </x:c>
      <x:c r="F120" s="20" t="n">
        <x:v>1</x:v>
      </x:c>
      <x:c r="G120" s="18" t="str">
        <x:v>Recorded owner: Naina Demo</x:v>
      </x:c>
      <x:c r="H120" s="21"/>
      <x:c r="I120" s="22"/>
      <x:c r="J120" s="23"/>
      <x:c r="K120" s="23"/>
      <x:c r="L120" s="23"/>
      <x:c r="M120" s="23"/>
      <x:c r="N120" s="18" t="str">
        <x:v>BV04-02-jamabandi.pdf</x:v>
      </x:c>
      <x:c r="O120" s="18" t="str">
        <x:v>clear</x:v>
      </x:c>
    </x:row>
    <x:row r="121" ht="60" customHeight="1">
      <x:c r="A121" s="12" t="str">
        <x:v>BV04</x:v>
      </x:c>
      <x:c r="B121" s="12" t="str">
        <x:v>BV04-D2</x:v>
      </x:c>
      <x:c r="C121" s="12" t="str">
        <x:v>seller</x:v>
      </x:c>
      <x:c r="D121" s="12" t="str">
        <x:v>Omit</x:v>
      </x:c>
      <x:c r="E121" s="13"/>
      <x:c r="F121" s="14"/>
      <x:c r="G121" s="12"/>
      <x:c r="H121" s="15"/>
      <x:c r="I121" s="16"/>
      <x:c r="J121" s="17"/>
      <x:c r="K121" s="17"/>
      <x:c r="L121" s="17"/>
      <x:c r="M121" s="17"/>
      <x:c r="N121" s="12" t="str">
        <x:v>BV04-02-jamabandi.pdf</x:v>
      </x:c>
      <x:c r="O121" s="12" t="str">
        <x:v>Not stated in this file</x:v>
      </x:c>
    </x:row>
    <x:row r="122" ht="60" customHeight="1">
      <x:c r="A122" s="12" t="str">
        <x:v>BV04</x:v>
      </x:c>
      <x:c r="B122" s="12" t="str">
        <x:v>BV04-D2</x:v>
      </x:c>
      <x:c r="C122" s="12" t="str">
        <x:v>buyer</x:v>
      </x:c>
      <x:c r="D122" s="12" t="str">
        <x:v>Omit</x:v>
      </x:c>
      <x:c r="E122" s="13"/>
      <x:c r="F122" s="14"/>
      <x:c r="G122" s="12"/>
      <x:c r="H122" s="15"/>
      <x:c r="I122" s="16"/>
      <x:c r="J122" s="17"/>
      <x:c r="K122" s="17"/>
      <x:c r="L122" s="17"/>
      <x:c r="M122" s="17"/>
      <x:c r="N122" s="12" t="str">
        <x:v>BV04-02-jamabandi.pdf</x:v>
      </x:c>
      <x:c r="O122" s="12" t="str">
        <x:v>Not stated in this file</x:v>
      </x:c>
    </x:row>
    <x:row r="123" ht="60" customHeight="1">
      <x:c r="A123" s="12" t="str">
        <x:v>BV04</x:v>
      </x:c>
      <x:c r="B123" s="12" t="str">
        <x:v>BV04-D2</x:v>
      </x:c>
      <x:c r="C123" s="12" t="str">
        <x:v>district</x:v>
      </x:c>
      <x:c r="D123" s="12" t="str">
        <x:v>Extract</x:v>
      </x:c>
      <x:c r="E123" s="13" t="str">
        <x:v>Muzaffarpur</x:v>
      </x:c>
      <x:c r="F123" s="14" t="n">
        <x:v>1</x:v>
      </x:c>
      <x:c r="G123" s="12" t="str">
        <x:v>District: Muzaffarpur</x:v>
      </x:c>
      <x:c r="H123" s="15"/>
      <x:c r="I123" s="16"/>
      <x:c r="J123" s="17"/>
      <x:c r="K123" s="17"/>
      <x:c r="L123" s="17"/>
      <x:c r="M123" s="17"/>
      <x:c r="N123" s="12" t="str">
        <x:v>BV04-02-jamabandi.pdf</x:v>
      </x:c>
      <x:c r="O123" s="12" t="str">
        <x:v>clear</x:v>
      </x:c>
    </x:row>
    <x:row r="124" ht="60" customHeight="1">
      <x:c r="A124" s="12" t="str">
        <x:v>BV04</x:v>
      </x:c>
      <x:c r="B124" s="12" t="str">
        <x:v>BV04-D2</x:v>
      </x:c>
      <x:c r="C124" s="12" t="str">
        <x:v>circle</x:v>
      </x:c>
      <x:c r="D124" s="12" t="str">
        <x:v>Extract</x:v>
      </x:c>
      <x:c r="E124" s="13" t="str">
        <x:v>Mushahari</x:v>
      </x:c>
      <x:c r="F124" s="14" t="n">
        <x:v>1</x:v>
      </x:c>
      <x:c r="G124" s="12" t="str">
        <x:v>Anchal / circle: Mushahari</x:v>
      </x:c>
      <x:c r="H124" s="15"/>
      <x:c r="I124" s="16"/>
      <x:c r="J124" s="17"/>
      <x:c r="K124" s="17"/>
      <x:c r="L124" s="17"/>
      <x:c r="M124" s="17"/>
      <x:c r="N124" s="12" t="str">
        <x:v>BV04-02-jamabandi.pdf</x:v>
      </x:c>
      <x:c r="O124" s="12" t="str">
        <x:v>clear</x:v>
      </x:c>
    </x:row>
    <x:row r="125" ht="60" customHeight="1">
      <x:c r="A125" s="12" t="str">
        <x:v>BV04</x:v>
      </x:c>
      <x:c r="B125" s="12" t="str">
        <x:v>BV04-D2</x:v>
      </x:c>
      <x:c r="C125" s="12" t="str">
        <x:v>mauza</x:v>
      </x:c>
      <x:c r="D125" s="12" t="str">
        <x:v>Extract</x:v>
      </x:c>
      <x:c r="E125" s="13" t="str">
        <x:v>Savera Demo Mauza</x:v>
      </x:c>
      <x:c r="F125" s="14" t="n">
        <x:v>1</x:v>
      </x:c>
      <x:c r="G125" s="12" t="str">
        <x:v>Mauza (fictional village): Savera Demo Mauza</x:v>
      </x:c>
      <x:c r="H125" s="15"/>
      <x:c r="I125" s="16"/>
      <x:c r="J125" s="17"/>
      <x:c r="K125" s="17"/>
      <x:c r="L125" s="17"/>
      <x:c r="M125" s="17"/>
      <x:c r="N125" s="12" t="str">
        <x:v>BV04-02-jamabandi.pdf</x:v>
      </x:c>
      <x:c r="O125" s="12" t="str">
        <x:v>clear</x:v>
      </x:c>
    </x:row>
    <x:row r="126" ht="60" customHeight="1">
      <x:c r="A126" s="12" t="str">
        <x:v>BV04</x:v>
      </x:c>
      <x:c r="B126" s="12" t="str">
        <x:v>BV04-D2</x:v>
      </x:c>
      <x:c r="C126" s="12" t="str">
        <x:v>thana</x:v>
      </x:c>
      <x:c r="D126" s="12" t="str">
        <x:v>Omit</x:v>
      </x:c>
      <x:c r="E126" s="13"/>
      <x:c r="F126" s="14"/>
      <x:c r="G126" s="12"/>
      <x:c r="H126" s="15"/>
      <x:c r="I126" s="16"/>
      <x:c r="J126" s="17"/>
      <x:c r="K126" s="17"/>
      <x:c r="L126" s="17"/>
      <x:c r="M126" s="17"/>
      <x:c r="N126" s="12" t="str">
        <x:v>BV04-02-jamabandi.pdf</x:v>
      </x:c>
      <x:c r="O126" s="12" t="str">
        <x:v>Not stated in this file</x:v>
      </x:c>
    </x:row>
    <x:row r="127" ht="60" customHeight="1">
      <x:c r="A127" s="12" t="str">
        <x:v>BV04</x:v>
      </x:c>
      <x:c r="B127" s="12" t="str">
        <x:v>BV04-D2</x:v>
      </x:c>
      <x:c r="C127" s="12" t="str">
        <x:v>khata</x:v>
      </x:c>
      <x:c r="D127" s="12" t="str">
        <x:v>Extract</x:v>
      </x:c>
      <x:c r="E127" s="24" t="str">
        <x:v>0045</x:v>
      </x:c>
      <x:c r="F127" s="14" t="n">
        <x:v>1</x:v>
      </x:c>
      <x:c r="G127" s="12" t="str">
        <x:v>Khata: 0045</x:v>
      </x:c>
      <x:c r="H127" s="15"/>
      <x:c r="I127" s="16"/>
      <x:c r="J127" s="17"/>
      <x:c r="K127" s="17"/>
      <x:c r="L127" s="17"/>
      <x:c r="M127" s="17"/>
      <x:c r="N127" s="12" t="str">
        <x:v>BV04-02-jamabandi.pdf</x:v>
      </x:c>
      <x:c r="O127" s="12" t="str">
        <x:v>clear</x:v>
      </x:c>
    </x:row>
    <x:row r="128" ht="60" customHeight="1">
      <x:c r="A128" s="12" t="str">
        <x:v>BV04</x:v>
      </x:c>
      <x:c r="B128" s="12" t="str">
        <x:v>BV04-D2</x:v>
      </x:c>
      <x:c r="C128" s="12" t="str">
        <x:v>khesra</x:v>
      </x:c>
      <x:c r="D128" s="12" t="str">
        <x:v>Extract</x:v>
      </x:c>
      <x:c r="E128" s="24" t="str">
        <x:v>0721</x:v>
      </x:c>
      <x:c r="F128" s="14" t="n">
        <x:v>1</x:v>
      </x:c>
      <x:c r="G128" s="12" t="str">
        <x:v>Khesra: 0721</x:v>
      </x:c>
      <x:c r="H128" s="15"/>
      <x:c r="I128" s="16"/>
      <x:c r="J128" s="17"/>
      <x:c r="K128" s="17"/>
      <x:c r="L128" s="17"/>
      <x:c r="M128" s="17"/>
      <x:c r="N128" s="12" t="str">
        <x:v>BV04-02-jamabandi.pdf</x:v>
      </x:c>
      <x:c r="O128" s="12" t="str">
        <x:v>clear</x:v>
      </x:c>
    </x:row>
    <x:row r="129" ht="60" customHeight="1">
      <x:c r="A129" s="12" t="str">
        <x:v>BV04</x:v>
      </x:c>
      <x:c r="B129" s="12" t="str">
        <x:v>BV04-D2</x:v>
      </x:c>
      <x:c r="C129" s="12" t="str">
        <x:v>jamabandi</x:v>
      </x:c>
      <x:c r="D129" s="12" t="str">
        <x:v>Extract</x:v>
      </x:c>
      <x:c r="E129" s="13" t="str">
        <x:v>DEMO-JB-404</x:v>
      </x:c>
      <x:c r="F129" s="14" t="n">
        <x:v>1</x:v>
      </x:c>
      <x:c r="G129" s="12" t="str">
        <x:v>Jamabandi reference: DEMO-JB-404</x:v>
      </x:c>
      <x:c r="H129" s="15"/>
      <x:c r="I129" s="16"/>
      <x:c r="J129" s="17"/>
      <x:c r="K129" s="17"/>
      <x:c r="L129" s="17"/>
      <x:c r="M129" s="17"/>
      <x:c r="N129" s="12" t="str">
        <x:v>BV04-02-jamabandi.pdf</x:v>
      </x:c>
      <x:c r="O129" s="12" t="str">
        <x:v>clear</x:v>
      </x:c>
    </x:row>
    <x:row r="130" ht="60" customHeight="1">
      <x:c r="A130" s="12" t="str">
        <x:v>BV04</x:v>
      </x:c>
      <x:c r="B130" s="12" t="str">
        <x:v>BV04-D2</x:v>
      </x:c>
      <x:c r="C130" s="12" t="str">
        <x:v>area</x:v>
      </x:c>
      <x:c r="D130" s="12" t="str">
        <x:v>Extract</x:v>
      </x:c>
      <x:c r="E130" s="13" t="str">
        <x:v>14</x:v>
      </x:c>
      <x:c r="F130" s="14" t="n">
        <x:v>1</x:v>
      </x:c>
      <x:c r="G130" s="12" t="str">
        <x:v>Area: 14</x:v>
      </x:c>
      <x:c r="H130" s="15"/>
      <x:c r="I130" s="16"/>
      <x:c r="J130" s="17"/>
      <x:c r="K130" s="17"/>
      <x:c r="L130" s="17"/>
      <x:c r="M130" s="17"/>
      <x:c r="N130" s="12" t="str">
        <x:v>BV04-02-jamabandi.pdf</x:v>
      </x:c>
      <x:c r="O130" s="12" t="str">
        <x:v>clear</x:v>
      </x:c>
    </x:row>
    <x:row r="131" ht="60" customHeight="1">
      <x:c r="A131" s="12" t="str">
        <x:v>BV04</x:v>
      </x:c>
      <x:c r="B131" s="12" t="str">
        <x:v>BV04-D2</x:v>
      </x:c>
      <x:c r="C131" s="12" t="str">
        <x:v>areaUnit</x:v>
      </x:c>
      <x:c r="D131" s="12" t="str">
        <x:v>Extract</x:v>
      </x:c>
      <x:c r="E131" s="13" t="str">
        <x:v>decimal</x:v>
      </x:c>
      <x:c r="F131" s="14" t="n">
        <x:v>1</x:v>
      </x:c>
      <x:c r="G131" s="12" t="str">
        <x:v>Area unit: decimal</x:v>
      </x:c>
      <x:c r="H131" s="15"/>
      <x:c r="I131" s="16"/>
      <x:c r="J131" s="17"/>
      <x:c r="K131" s="17"/>
      <x:c r="L131" s="17"/>
      <x:c r="M131" s="17"/>
      <x:c r="N131" s="12" t="str">
        <x:v>BV04-02-jamabandi.pdf</x:v>
      </x:c>
      <x:c r="O131" s="12" t="str">
        <x:v>clear</x:v>
      </x:c>
    </x:row>
    <x:row r="132" ht="60" customHeight="1">
      <x:c r="A132" s="12" t="str">
        <x:v>BV04</x:v>
      </x:c>
      <x:c r="B132" s="12" t="str">
        <x:v>BV04-D2</x:v>
      </x:c>
      <x:c r="C132" s="12" t="str">
        <x:v>date</x:v>
      </x:c>
      <x:c r="D132" s="12" t="str">
        <x:v>Extract</x:v>
      </x:c>
      <x:c r="E132" s="13" t="str">
        <x:v>2024-09-02</x:v>
      </x:c>
      <x:c r="F132" s="14" t="n">
        <x:v>1</x:v>
      </x:c>
      <x:c r="G132" s="12" t="str">
        <x:v>Document date: 2024-09-02</x:v>
      </x:c>
      <x:c r="H132" s="15"/>
      <x:c r="I132" s="16"/>
      <x:c r="J132" s="17"/>
      <x:c r="K132" s="17"/>
      <x:c r="L132" s="17"/>
      <x:c r="M132" s="17"/>
      <x:c r="N132" s="12" t="str">
        <x:v>BV04-02-jamabandi.pdf</x:v>
      </x:c>
      <x:c r="O132" s="12" t="str">
        <x:v>clear</x:v>
      </x:c>
    </x:row>
    <x:row r="133" ht="60" customHeight="1">
      <x:c r="A133" s="12" t="str">
        <x:v>BV04</x:v>
      </x:c>
      <x:c r="B133" s="12" t="str">
        <x:v>BV04-D2</x:v>
      </x:c>
      <x:c r="C133" s="12" t="str">
        <x:v>mutationStatus</x:v>
      </x:c>
      <x:c r="D133" s="12" t="str">
        <x:v>Omit</x:v>
      </x:c>
      <x:c r="E133" s="13"/>
      <x:c r="F133" s="14"/>
      <x:c r="G133" s="12"/>
      <x:c r="H133" s="15"/>
      <x:c r="I133" s="16"/>
      <x:c r="J133" s="17"/>
      <x:c r="K133" s="17"/>
      <x:c r="L133" s="17"/>
      <x:c r="M133" s="17"/>
      <x:c r="N133" s="12" t="str">
        <x:v>BV04-02-jamabandi.pdf</x:v>
      </x:c>
      <x:c r="O133" s="12" t="str">
        <x:v>Not stated in this file</x:v>
      </x:c>
    </x:row>
    <x:row r="134" ht="60" customHeight="1">
      <x:c r="A134" s="12" t="str">
        <x:v>BV04</x:v>
      </x:c>
      <x:c r="B134" s="12" t="str">
        <x:v>BV04-D2</x:v>
      </x:c>
      <x:c r="C134" s="12" t="str">
        <x:v>mortgage</x:v>
      </x:c>
      <x:c r="D134" s="12" t="str">
        <x:v>Omit</x:v>
      </x:c>
      <x:c r="E134" s="13"/>
      <x:c r="F134" s="14"/>
      <x:c r="G134" s="12"/>
      <x:c r="H134" s="15"/>
      <x:c r="I134" s="16"/>
      <x:c r="J134" s="17"/>
      <x:c r="K134" s="17"/>
      <x:c r="L134" s="17"/>
      <x:c r="M134" s="17"/>
      <x:c r="N134" s="12" t="str">
        <x:v>BV04-02-jamabandi.pdf</x:v>
      </x:c>
      <x:c r="O134" s="12" t="str">
        <x:v>Not stated in this file</x:v>
      </x:c>
    </x:row>
    <x:row r="135" ht="60" customHeight="1">
      <x:c r="A135" s="12" t="str">
        <x:v>BV04</x:v>
      </x:c>
      <x:c r="B135" s="12" t="str">
        <x:v>BV04-D2</x:v>
      </x:c>
      <x:c r="C135" s="12" t="str">
        <x:v>boundaries</x:v>
      </x:c>
      <x:c r="D135" s="12" t="str">
        <x:v>Omit</x:v>
      </x:c>
      <x:c r="E135" s="13"/>
      <x:c r="F135" s="14"/>
      <x:c r="G135" s="12"/>
      <x:c r="H135" s="15"/>
      <x:c r="I135" s="16"/>
      <x:c r="J135" s="17"/>
      <x:c r="K135" s="17"/>
      <x:c r="L135" s="17"/>
      <x:c r="M135" s="17"/>
      <x:c r="N135" s="12" t="str">
        <x:v>BV04-02-jamabandi.pdf</x:v>
      </x:c>
      <x:c r="O135" s="12" t="str">
        <x:v>Not stated in this file</x:v>
      </x:c>
    </x:row>
    <x:row r="136" ht="60" customHeight="1">
      <x:c r="A136" s="18" t="str">
        <x:v>BV05</x:v>
      </x:c>
      <x:c r="B136" s="18" t="str">
        <x:v>BV05-D1</x:v>
      </x:c>
      <x:c r="C136" s="18" t="str">
        <x:v>owner</x:v>
      </x:c>
      <x:c r="D136" s="18" t="str">
        <x:v>Omit</x:v>
      </x:c>
      <x:c r="E136" s="19"/>
      <x:c r="F136" s="20"/>
      <x:c r="G136" s="18"/>
      <x:c r="H136" s="21"/>
      <x:c r="I136" s="22"/>
      <x:c r="J136" s="23"/>
      <x:c r="K136" s="23"/>
      <x:c r="L136" s="23"/>
      <x:c r="M136" s="23"/>
      <x:c r="N136" s="18" t="str">
        <x:v>BV05-01-sale-deed.pdf</x:v>
      </x:c>
      <x:c r="O136" s="18" t="str">
        <x:v>Not stated in this file</x:v>
      </x:c>
    </x:row>
    <x:row r="137" ht="60" customHeight="1">
      <x:c r="A137" s="12" t="str">
        <x:v>BV05</x:v>
      </x:c>
      <x:c r="B137" s="12" t="str">
        <x:v>BV05-D1</x:v>
      </x:c>
      <x:c r="C137" s="12" t="str">
        <x:v>seller</x:v>
      </x:c>
      <x:c r="D137" s="12" t="str">
        <x:v>Extract</x:v>
      </x:c>
      <x:c r="E137" s="13" t="str">
        <x:v>Arun Demo</x:v>
      </x:c>
      <x:c r="F137" s="14" t="n">
        <x:v>1</x:v>
      </x:c>
      <x:c r="G137" s="12" t="str">
        <x:v>Seller: Arun Demo</x:v>
      </x:c>
      <x:c r="H137" s="15"/>
      <x:c r="I137" s="16"/>
      <x:c r="J137" s="17"/>
      <x:c r="K137" s="17"/>
      <x:c r="L137" s="17"/>
      <x:c r="M137" s="17"/>
      <x:c r="N137" s="12" t="str">
        <x:v>BV05-01-sale-deed.pdf</x:v>
      </x:c>
      <x:c r="O137" s="12" t="str">
        <x:v>clear</x:v>
      </x:c>
    </x:row>
    <x:row r="138" ht="60" customHeight="1">
      <x:c r="A138" s="12" t="str">
        <x:v>BV05</x:v>
      </x:c>
      <x:c r="B138" s="12" t="str">
        <x:v>BV05-D1</x:v>
      </x:c>
      <x:c r="C138" s="12" t="str">
        <x:v>buyer</x:v>
      </x:c>
      <x:c r="D138" s="12" t="str">
        <x:v>Extract</x:v>
      </x:c>
      <x:c r="E138" s="13" t="str">
        <x:v>Kavya Demo</x:v>
      </x:c>
      <x:c r="F138" s="14" t="n">
        <x:v>1</x:v>
      </x:c>
      <x:c r="G138" s="12" t="str">
        <x:v>Buyer: Kavya Demo</x:v>
      </x:c>
      <x:c r="H138" s="15"/>
      <x:c r="I138" s="16"/>
      <x:c r="J138" s="17"/>
      <x:c r="K138" s="17"/>
      <x:c r="L138" s="17"/>
      <x:c r="M138" s="17"/>
      <x:c r="N138" s="12" t="str">
        <x:v>BV05-01-sale-deed.pdf</x:v>
      </x:c>
      <x:c r="O138" s="12" t="str">
        <x:v>clear</x:v>
      </x:c>
    </x:row>
    <x:row r="139" ht="60" customHeight="1">
      <x:c r="A139" s="12" t="str">
        <x:v>BV05</x:v>
      </x:c>
      <x:c r="B139" s="12" t="str">
        <x:v>BV05-D1</x:v>
      </x:c>
      <x:c r="C139" s="12" t="str">
        <x:v>district</x:v>
      </x:c>
      <x:c r="D139" s="12" t="str">
        <x:v>Extract</x:v>
      </x:c>
      <x:c r="E139" s="13" t="str">
        <x:v>Darbhanga</x:v>
      </x:c>
      <x:c r="F139" s="14" t="n">
        <x:v>1</x:v>
      </x:c>
      <x:c r="G139" s="12" t="str">
        <x:v>District: Darbhanga</x:v>
      </x:c>
      <x:c r="H139" s="15"/>
      <x:c r="I139" s="16"/>
      <x:c r="J139" s="17"/>
      <x:c r="K139" s="17"/>
      <x:c r="L139" s="17"/>
      <x:c r="M139" s="17"/>
      <x:c r="N139" s="12" t="str">
        <x:v>BV05-01-sale-deed.pdf</x:v>
      </x:c>
      <x:c r="O139" s="12" t="str">
        <x:v>clear</x:v>
      </x:c>
    </x:row>
    <x:row r="140" ht="60" customHeight="1">
      <x:c r="A140" s="12" t="str">
        <x:v>BV05</x:v>
      </x:c>
      <x:c r="B140" s="12" t="str">
        <x:v>BV05-D1</x:v>
      </x:c>
      <x:c r="C140" s="12" t="str">
        <x:v>circle</x:v>
      </x:c>
      <x:c r="D140" s="12" t="str">
        <x:v>Extract</x:v>
      </x:c>
      <x:c r="E140" s="13" t="str">
        <x:v>Bahadurpur</x:v>
      </x:c>
      <x:c r="F140" s="14" t="n">
        <x:v>1</x:v>
      </x:c>
      <x:c r="G140" s="12" t="str">
        <x:v>Anchal / circle: Bahadurpur</x:v>
      </x:c>
      <x:c r="H140" s="15"/>
      <x:c r="I140" s="16"/>
      <x:c r="J140" s="17"/>
      <x:c r="K140" s="17"/>
      <x:c r="L140" s="17"/>
      <x:c r="M140" s="17"/>
      <x:c r="N140" s="12" t="str">
        <x:v>BV05-01-sale-deed.pdf</x:v>
      </x:c>
      <x:c r="O140" s="12" t="str">
        <x:v>clear</x:v>
      </x:c>
    </x:row>
    <x:row r="141" ht="60" customHeight="1">
      <x:c r="A141" s="12" t="str">
        <x:v>BV05</x:v>
      </x:c>
      <x:c r="B141" s="12" t="str">
        <x:v>BV05-D1</x:v>
      </x:c>
      <x:c r="C141" s="12" t="str">
        <x:v>mauza</x:v>
      </x:c>
      <x:c r="D141" s="12" t="str">
        <x:v>Extract</x:v>
      </x:c>
      <x:c r="E141" s="13" t="str">
        <x:v>Nirmal Demo Mauza</x:v>
      </x:c>
      <x:c r="F141" s="14" t="n">
        <x:v>1</x:v>
      </x:c>
      <x:c r="G141" s="12" t="str">
        <x:v>Mauza (fictional village): Nirmal Demo Mauza</x:v>
      </x:c>
      <x:c r="H141" s="15"/>
      <x:c r="I141" s="16"/>
      <x:c r="J141" s="17"/>
      <x:c r="K141" s="17"/>
      <x:c r="L141" s="17"/>
      <x:c r="M141" s="17"/>
      <x:c r="N141" s="12" t="str">
        <x:v>BV05-01-sale-deed.pdf</x:v>
      </x:c>
      <x:c r="O141" s="12" t="str">
        <x:v>clear</x:v>
      </x:c>
    </x:row>
    <x:row r="142" ht="60" customHeight="1">
      <x:c r="A142" s="12" t="str">
        <x:v>BV05</x:v>
      </x:c>
      <x:c r="B142" s="12" t="str">
        <x:v>BV05-D1</x:v>
      </x:c>
      <x:c r="C142" s="12" t="str">
        <x:v>thana</x:v>
      </x:c>
      <x:c r="D142" s="12" t="str">
        <x:v>Omit</x:v>
      </x:c>
      <x:c r="E142" s="13"/>
      <x:c r="F142" s="14"/>
      <x:c r="G142" s="12"/>
      <x:c r="H142" s="15"/>
      <x:c r="I142" s="16"/>
      <x:c r="J142" s="17"/>
      <x:c r="K142" s="17"/>
      <x:c r="L142" s="17"/>
      <x:c r="M142" s="17"/>
      <x:c r="N142" s="12" t="str">
        <x:v>BV05-01-sale-deed.pdf</x:v>
      </x:c>
      <x:c r="O142" s="12" t="str">
        <x:v>Not stated in this file</x:v>
      </x:c>
    </x:row>
    <x:row r="143" ht="60" customHeight="1">
      <x:c r="A143" s="12" t="str">
        <x:v>BV05</x:v>
      </x:c>
      <x:c r="B143" s="12" t="str">
        <x:v>BV05-D1</x:v>
      </x:c>
      <x:c r="C143" s="12" t="str">
        <x:v>khata</x:v>
      </x:c>
      <x:c r="D143" s="12" t="str">
        <x:v>Extract</x:v>
      </x:c>
      <x:c r="E143" s="24" t="str">
        <x:v>0086</x:v>
      </x:c>
      <x:c r="F143" s="14" t="n">
        <x:v>1</x:v>
      </x:c>
      <x:c r="G143" s="12" t="str">
        <x:v>Khata: 0086</x:v>
      </x:c>
      <x:c r="H143" s="15"/>
      <x:c r="I143" s="16"/>
      <x:c r="J143" s="17"/>
      <x:c r="K143" s="17"/>
      <x:c r="L143" s="17"/>
      <x:c r="M143" s="17"/>
      <x:c r="N143" s="12" t="str">
        <x:v>BV05-01-sale-deed.pdf</x:v>
      </x:c>
      <x:c r="O143" s="12" t="str">
        <x:v>clear</x:v>
      </x:c>
    </x:row>
    <x:row r="144" ht="60" customHeight="1">
      <x:c r="A144" s="12" t="str">
        <x:v>BV05</x:v>
      </x:c>
      <x:c r="B144" s="12" t="str">
        <x:v>BV05-D1</x:v>
      </x:c>
      <x:c r="C144" s="12" t="str">
        <x:v>khesra</x:v>
      </x:c>
      <x:c r="D144" s="12" t="str">
        <x:v>Extract</x:v>
      </x:c>
      <x:c r="E144" s="24" t="str">
        <x:v>0325</x:v>
      </x:c>
      <x:c r="F144" s="14" t="n">
        <x:v>1</x:v>
      </x:c>
      <x:c r="G144" s="12" t="str">
        <x:v>Khesra: 0325</x:v>
      </x:c>
      <x:c r="H144" s="15"/>
      <x:c r="I144" s="16"/>
      <x:c r="J144" s="17"/>
      <x:c r="K144" s="17"/>
      <x:c r="L144" s="17"/>
      <x:c r="M144" s="17"/>
      <x:c r="N144" s="12" t="str">
        <x:v>BV05-01-sale-deed.pdf</x:v>
      </x:c>
      <x:c r="O144" s="12" t="str">
        <x:v>clear</x:v>
      </x:c>
    </x:row>
    <x:row r="145" ht="60" customHeight="1">
      <x:c r="A145" s="12" t="str">
        <x:v>BV05</x:v>
      </x:c>
      <x:c r="B145" s="12" t="str">
        <x:v>BV05-D1</x:v>
      </x:c>
      <x:c r="C145" s="12" t="str">
        <x:v>jamabandi</x:v>
      </x:c>
      <x:c r="D145" s="12" t="str">
        <x:v>Omit</x:v>
      </x:c>
      <x:c r="E145" s="13"/>
      <x:c r="F145" s="14"/>
      <x:c r="G145" s="12"/>
      <x:c r="H145" s="15"/>
      <x:c r="I145" s="16"/>
      <x:c r="J145" s="17"/>
      <x:c r="K145" s="17"/>
      <x:c r="L145" s="17"/>
      <x:c r="M145" s="17"/>
      <x:c r="N145" s="12" t="str">
        <x:v>BV05-01-sale-deed.pdf</x:v>
      </x:c>
      <x:c r="O145" s="12" t="str">
        <x:v>Not stated in this file</x:v>
      </x:c>
    </x:row>
    <x:row r="146" ht="60" customHeight="1">
      <x:c r="A146" s="12" t="str">
        <x:v>BV05</x:v>
      </x:c>
      <x:c r="B146" s="12" t="str">
        <x:v>BV05-D1</x:v>
      </x:c>
      <x:c r="C146" s="12" t="str">
        <x:v>area</x:v>
      </x:c>
      <x:c r="D146" s="12" t="str">
        <x:v>Extract</x:v>
      </x:c>
      <x:c r="E146" s="13" t="str">
        <x:v>12</x:v>
      </x:c>
      <x:c r="F146" s="14" t="n">
        <x:v>1</x:v>
      </x:c>
      <x:c r="G146" s="12" t="str">
        <x:v>Area: 12</x:v>
      </x:c>
      <x:c r="H146" s="15"/>
      <x:c r="I146" s="16"/>
      <x:c r="J146" s="17"/>
      <x:c r="K146" s="17"/>
      <x:c r="L146" s="17"/>
      <x:c r="M146" s="17"/>
      <x:c r="N146" s="12" t="str">
        <x:v>BV05-01-sale-deed.pdf</x:v>
      </x:c>
      <x:c r="O146" s="12" t="str">
        <x:v>clear</x:v>
      </x:c>
    </x:row>
    <x:row r="147" ht="60" customHeight="1">
      <x:c r="A147" s="12" t="str">
        <x:v>BV05</x:v>
      </x:c>
      <x:c r="B147" s="12" t="str">
        <x:v>BV05-D1</x:v>
      </x:c>
      <x:c r="C147" s="12" t="str">
        <x:v>areaUnit</x:v>
      </x:c>
      <x:c r="D147" s="12" t="str">
        <x:v>Extract</x:v>
      </x:c>
      <x:c r="E147" s="13" t="str">
        <x:v>decimal</x:v>
      </x:c>
      <x:c r="F147" s="14" t="n">
        <x:v>1</x:v>
      </x:c>
      <x:c r="G147" s="12" t="str">
        <x:v>Area unit: decimal</x:v>
      </x:c>
      <x:c r="H147" s="15"/>
      <x:c r="I147" s="16"/>
      <x:c r="J147" s="17"/>
      <x:c r="K147" s="17"/>
      <x:c r="L147" s="17"/>
      <x:c r="M147" s="17"/>
      <x:c r="N147" s="12" t="str">
        <x:v>BV05-01-sale-deed.pdf</x:v>
      </x:c>
      <x:c r="O147" s="12" t="str">
        <x:v>clear</x:v>
      </x:c>
    </x:row>
    <x:row r="148" ht="60" customHeight="1">
      <x:c r="A148" s="12" t="str">
        <x:v>BV05</x:v>
      </x:c>
      <x:c r="B148" s="12" t="str">
        <x:v>BV05-D1</x:v>
      </x:c>
      <x:c r="C148" s="12" t="str">
        <x:v>date</x:v>
      </x:c>
      <x:c r="D148" s="12" t="str">
        <x:v>Extract</x:v>
      </x:c>
      <x:c r="E148" s="13" t="str">
        <x:v>2025-01-14</x:v>
      </x:c>
      <x:c r="F148" s="14" t="n">
        <x:v>1</x:v>
      </x:c>
      <x:c r="G148" s="12" t="str">
        <x:v>Document date: 2025-01-14</x:v>
      </x:c>
      <x:c r="H148" s="15"/>
      <x:c r="I148" s="16"/>
      <x:c r="J148" s="17"/>
      <x:c r="K148" s="17"/>
      <x:c r="L148" s="17"/>
      <x:c r="M148" s="17"/>
      <x:c r="N148" s="12" t="str">
        <x:v>BV05-01-sale-deed.pdf</x:v>
      </x:c>
      <x:c r="O148" s="12" t="str">
        <x:v>clear</x:v>
      </x:c>
    </x:row>
    <x:row r="149" ht="60" customHeight="1">
      <x:c r="A149" s="12" t="str">
        <x:v>BV05</x:v>
      </x:c>
      <x:c r="B149" s="12" t="str">
        <x:v>BV05-D1</x:v>
      </x:c>
      <x:c r="C149" s="12" t="str">
        <x:v>mutationStatus</x:v>
      </x:c>
      <x:c r="D149" s="12" t="str">
        <x:v>Omit</x:v>
      </x:c>
      <x:c r="E149" s="13"/>
      <x:c r="F149" s="14"/>
      <x:c r="G149" s="12"/>
      <x:c r="H149" s="15"/>
      <x:c r="I149" s="16"/>
      <x:c r="J149" s="17"/>
      <x:c r="K149" s="17"/>
      <x:c r="L149" s="17"/>
      <x:c r="M149" s="17"/>
      <x:c r="N149" s="12" t="str">
        <x:v>BV05-01-sale-deed.pdf</x:v>
      </x:c>
      <x:c r="O149" s="12" t="str">
        <x:v>Not stated in this file</x:v>
      </x:c>
    </x:row>
    <x:row r="150" ht="60" customHeight="1">
      <x:c r="A150" s="12" t="str">
        <x:v>BV05</x:v>
      </x:c>
      <x:c r="B150" s="12" t="str">
        <x:v>BV05-D1</x:v>
      </x:c>
      <x:c r="C150" s="12" t="str">
        <x:v>mortgage</x:v>
      </x:c>
      <x:c r="D150" s="12" t="str">
        <x:v>Omit</x:v>
      </x:c>
      <x:c r="E150" s="13"/>
      <x:c r="F150" s="14"/>
      <x:c r="G150" s="12"/>
      <x:c r="H150" s="15"/>
      <x:c r="I150" s="16"/>
      <x:c r="J150" s="17"/>
      <x:c r="K150" s="17"/>
      <x:c r="L150" s="17"/>
      <x:c r="M150" s="17"/>
      <x:c r="N150" s="12" t="str">
        <x:v>BV05-01-sale-deed.pdf</x:v>
      </x:c>
      <x:c r="O150" s="12" t="str">
        <x:v>Not stated in this file</x:v>
      </x:c>
    </x:row>
    <x:row r="151" ht="60" customHeight="1">
      <x:c r="A151" s="12" t="str">
        <x:v>BV05</x:v>
      </x:c>
      <x:c r="B151" s="12" t="str">
        <x:v>BV05-D1</x:v>
      </x:c>
      <x:c r="C151" s="12" t="str">
        <x:v>boundaries</x:v>
      </x:c>
      <x:c r="D151" s="12" t="str">
        <x:v>Omit</x:v>
      </x:c>
      <x:c r="E151" s="13"/>
      <x:c r="F151" s="14"/>
      <x:c r="G151" s="12"/>
      <x:c r="H151" s="15"/>
      <x:c r="I151" s="16"/>
      <x:c r="J151" s="17"/>
      <x:c r="K151" s="17"/>
      <x:c r="L151" s="17"/>
      <x:c r="M151" s="17"/>
      <x:c r="N151" s="12" t="str">
        <x:v>BV05-01-sale-deed.pdf</x:v>
      </x:c>
      <x:c r="O151" s="12" t="str">
        <x:v>Not stated in this file</x:v>
      </x:c>
    </x:row>
    <x:row r="152" ht="60" customHeight="1">
      <x:c r="A152" s="18" t="str">
        <x:v>BV05</x:v>
      </x:c>
      <x:c r="B152" s="18" t="str">
        <x:v>BV05-D2</x:v>
      </x:c>
      <x:c r="C152" s="18" t="str">
        <x:v>owner</x:v>
      </x:c>
      <x:c r="D152" s="18" t="str">
        <x:v>Extract</x:v>
      </x:c>
      <x:c r="E152" s="19" t="str">
        <x:v>Kavya Demo</x:v>
      </x:c>
      <x:c r="F152" s="20" t="n">
        <x:v>1</x:v>
      </x:c>
      <x:c r="G152" s="18" t="str">
        <x:v>Recorded owner: Kavya Demo</x:v>
      </x:c>
      <x:c r="H152" s="21"/>
      <x:c r="I152" s="22"/>
      <x:c r="J152" s="23"/>
      <x:c r="K152" s="23"/>
      <x:c r="L152" s="23"/>
      <x:c r="M152" s="23"/>
      <x:c r="N152" s="18" t="str">
        <x:v>BV05-02-jamabandi.pdf</x:v>
      </x:c>
      <x:c r="O152" s="18" t="str">
        <x:v>clear</x:v>
      </x:c>
    </x:row>
    <x:row r="153" ht="60" customHeight="1">
      <x:c r="A153" s="12" t="str">
        <x:v>BV05</x:v>
      </x:c>
      <x:c r="B153" s="12" t="str">
        <x:v>BV05-D2</x:v>
      </x:c>
      <x:c r="C153" s="12" t="str">
        <x:v>seller</x:v>
      </x:c>
      <x:c r="D153" s="12" t="str">
        <x:v>Omit</x:v>
      </x:c>
      <x:c r="E153" s="13"/>
      <x:c r="F153" s="14"/>
      <x:c r="G153" s="12"/>
      <x:c r="H153" s="15"/>
      <x:c r="I153" s="16"/>
      <x:c r="J153" s="17"/>
      <x:c r="K153" s="17"/>
      <x:c r="L153" s="17"/>
      <x:c r="M153" s="17"/>
      <x:c r="N153" s="12" t="str">
        <x:v>BV05-02-jamabandi.pdf</x:v>
      </x:c>
      <x:c r="O153" s="12" t="str">
        <x:v>Not stated in this file</x:v>
      </x:c>
    </x:row>
    <x:row r="154" ht="60" customHeight="1">
      <x:c r="A154" s="12" t="str">
        <x:v>BV05</x:v>
      </x:c>
      <x:c r="B154" s="12" t="str">
        <x:v>BV05-D2</x:v>
      </x:c>
      <x:c r="C154" s="12" t="str">
        <x:v>buyer</x:v>
      </x:c>
      <x:c r="D154" s="12" t="str">
        <x:v>Omit</x:v>
      </x:c>
      <x:c r="E154" s="13"/>
      <x:c r="F154" s="14"/>
      <x:c r="G154" s="12"/>
      <x:c r="H154" s="15"/>
      <x:c r="I154" s="16"/>
      <x:c r="J154" s="17"/>
      <x:c r="K154" s="17"/>
      <x:c r="L154" s="17"/>
      <x:c r="M154" s="17"/>
      <x:c r="N154" s="12" t="str">
        <x:v>BV05-02-jamabandi.pdf</x:v>
      </x:c>
      <x:c r="O154" s="12" t="str">
        <x:v>Not stated in this file</x:v>
      </x:c>
    </x:row>
    <x:row r="155" ht="60" customHeight="1">
      <x:c r="A155" s="12" t="str">
        <x:v>BV05</x:v>
      </x:c>
      <x:c r="B155" s="12" t="str">
        <x:v>BV05-D2</x:v>
      </x:c>
      <x:c r="C155" s="12" t="str">
        <x:v>district</x:v>
      </x:c>
      <x:c r="D155" s="12" t="str">
        <x:v>Extract</x:v>
      </x:c>
      <x:c r="E155" s="13" t="str">
        <x:v>Darbhanga</x:v>
      </x:c>
      <x:c r="F155" s="14" t="n">
        <x:v>1</x:v>
      </x:c>
      <x:c r="G155" s="12" t="str">
        <x:v>District: Darbhanga</x:v>
      </x:c>
      <x:c r="H155" s="15"/>
      <x:c r="I155" s="16"/>
      <x:c r="J155" s="17"/>
      <x:c r="K155" s="17"/>
      <x:c r="L155" s="17"/>
      <x:c r="M155" s="17"/>
      <x:c r="N155" s="12" t="str">
        <x:v>BV05-02-jamabandi.pdf</x:v>
      </x:c>
      <x:c r="O155" s="12" t="str">
        <x:v>clear</x:v>
      </x:c>
    </x:row>
    <x:row r="156" ht="60" customHeight="1">
      <x:c r="A156" s="12" t="str">
        <x:v>BV05</x:v>
      </x:c>
      <x:c r="B156" s="12" t="str">
        <x:v>BV05-D2</x:v>
      </x:c>
      <x:c r="C156" s="12" t="str">
        <x:v>circle</x:v>
      </x:c>
      <x:c r="D156" s="12" t="str">
        <x:v>Extract</x:v>
      </x:c>
      <x:c r="E156" s="13" t="str">
        <x:v>Bahadurpur</x:v>
      </x:c>
      <x:c r="F156" s="14" t="n">
        <x:v>1</x:v>
      </x:c>
      <x:c r="G156" s="12" t="str">
        <x:v>Anchal / circle: Bahadurpur</x:v>
      </x:c>
      <x:c r="H156" s="15"/>
      <x:c r="I156" s="16"/>
      <x:c r="J156" s="17"/>
      <x:c r="K156" s="17"/>
      <x:c r="L156" s="17"/>
      <x:c r="M156" s="17"/>
      <x:c r="N156" s="12" t="str">
        <x:v>BV05-02-jamabandi.pdf</x:v>
      </x:c>
      <x:c r="O156" s="12" t="str">
        <x:v>clear</x:v>
      </x:c>
    </x:row>
    <x:row r="157" ht="60" customHeight="1">
      <x:c r="A157" s="12" t="str">
        <x:v>BV05</x:v>
      </x:c>
      <x:c r="B157" s="12" t="str">
        <x:v>BV05-D2</x:v>
      </x:c>
      <x:c r="C157" s="12" t="str">
        <x:v>mauza</x:v>
      </x:c>
      <x:c r="D157" s="12" t="str">
        <x:v>Extract</x:v>
      </x:c>
      <x:c r="E157" s="13" t="str">
        <x:v>Nirmal Demo Mauza</x:v>
      </x:c>
      <x:c r="F157" s="14" t="n">
        <x:v>1</x:v>
      </x:c>
      <x:c r="G157" s="12" t="str">
        <x:v>Mauza (fictional village): Nirmal Demo Mauza</x:v>
      </x:c>
      <x:c r="H157" s="15"/>
      <x:c r="I157" s="16"/>
      <x:c r="J157" s="17"/>
      <x:c r="K157" s="17"/>
      <x:c r="L157" s="17"/>
      <x:c r="M157" s="17"/>
      <x:c r="N157" s="12" t="str">
        <x:v>BV05-02-jamabandi.pdf</x:v>
      </x:c>
      <x:c r="O157" s="12" t="str">
        <x:v>clear</x:v>
      </x:c>
    </x:row>
    <x:row r="158" ht="60" customHeight="1">
      <x:c r="A158" s="12" t="str">
        <x:v>BV05</x:v>
      </x:c>
      <x:c r="B158" s="12" t="str">
        <x:v>BV05-D2</x:v>
      </x:c>
      <x:c r="C158" s="12" t="str">
        <x:v>thana</x:v>
      </x:c>
      <x:c r="D158" s="12" t="str">
        <x:v>Omit</x:v>
      </x:c>
      <x:c r="E158" s="13"/>
      <x:c r="F158" s="14"/>
      <x:c r="G158" s="12"/>
      <x:c r="H158" s="15"/>
      <x:c r="I158" s="16"/>
      <x:c r="J158" s="17"/>
      <x:c r="K158" s="17"/>
      <x:c r="L158" s="17"/>
      <x:c r="M158" s="17"/>
      <x:c r="N158" s="12" t="str">
        <x:v>BV05-02-jamabandi.pdf</x:v>
      </x:c>
      <x:c r="O158" s="12" t="str">
        <x:v>Not stated in this file</x:v>
      </x:c>
    </x:row>
    <x:row r="159" ht="60" customHeight="1">
      <x:c r="A159" s="12" t="str">
        <x:v>BV05</x:v>
      </x:c>
      <x:c r="B159" s="12" t="str">
        <x:v>BV05-D2</x:v>
      </x:c>
      <x:c r="C159" s="12" t="str">
        <x:v>khata</x:v>
      </x:c>
      <x:c r="D159" s="12" t="str">
        <x:v>Extract</x:v>
      </x:c>
      <x:c r="E159" s="24" t="str">
        <x:v>0086</x:v>
      </x:c>
      <x:c r="F159" s="14" t="n">
        <x:v>1</x:v>
      </x:c>
      <x:c r="G159" s="12" t="str">
        <x:v>Khata: 0086</x:v>
      </x:c>
      <x:c r="H159" s="15"/>
      <x:c r="I159" s="16"/>
      <x:c r="J159" s="17"/>
      <x:c r="K159" s="17"/>
      <x:c r="L159" s="17"/>
      <x:c r="M159" s="17"/>
      <x:c r="N159" s="12" t="str">
        <x:v>BV05-02-jamabandi.pdf</x:v>
      </x:c>
      <x:c r="O159" s="12" t="str">
        <x:v>clear</x:v>
      </x:c>
    </x:row>
    <x:row r="160" ht="60" customHeight="1">
      <x:c r="A160" s="12" t="str">
        <x:v>BV05</x:v>
      </x:c>
      <x:c r="B160" s="12" t="str">
        <x:v>BV05-D2</x:v>
      </x:c>
      <x:c r="C160" s="12" t="str">
        <x:v>khesra</x:v>
      </x:c>
      <x:c r="D160" s="12" t="str">
        <x:v>Extract</x:v>
      </x:c>
      <x:c r="E160" s="24" t="str">
        <x:v>0325</x:v>
      </x:c>
      <x:c r="F160" s="14" t="n">
        <x:v>1</x:v>
      </x:c>
      <x:c r="G160" s="12" t="str">
        <x:v>Khesra: 0325</x:v>
      </x:c>
      <x:c r="H160" s="15"/>
      <x:c r="I160" s="16"/>
      <x:c r="J160" s="17"/>
      <x:c r="K160" s="17"/>
      <x:c r="L160" s="17"/>
      <x:c r="M160" s="17"/>
      <x:c r="N160" s="12" t="str">
        <x:v>BV05-02-jamabandi.pdf</x:v>
      </x:c>
      <x:c r="O160" s="12" t="str">
        <x:v>clear</x:v>
      </x:c>
    </x:row>
    <x:row r="161" ht="60" customHeight="1">
      <x:c r="A161" s="12" t="str">
        <x:v>BV05</x:v>
      </x:c>
      <x:c r="B161" s="12" t="str">
        <x:v>BV05-D2</x:v>
      </x:c>
      <x:c r="C161" s="12" t="str">
        <x:v>jamabandi</x:v>
      </x:c>
      <x:c r="D161" s="12" t="str">
        <x:v>Extract</x:v>
      </x:c>
      <x:c r="E161" s="13" t="str">
        <x:v>DEMO-JB-505</x:v>
      </x:c>
      <x:c r="F161" s="14" t="n">
        <x:v>1</x:v>
      </x:c>
      <x:c r="G161" s="12" t="str">
        <x:v>Jamabandi reference: DEMO-JB-505</x:v>
      </x:c>
      <x:c r="H161" s="15"/>
      <x:c r="I161" s="16"/>
      <x:c r="J161" s="17"/>
      <x:c r="K161" s="17"/>
      <x:c r="L161" s="17"/>
      <x:c r="M161" s="17"/>
      <x:c r="N161" s="12" t="str">
        <x:v>BV05-02-jamabandi.pdf</x:v>
      </x:c>
      <x:c r="O161" s="12" t="str">
        <x:v>clear</x:v>
      </x:c>
    </x:row>
    <x:row r="162" ht="60" customHeight="1">
      <x:c r="A162" s="12" t="str">
        <x:v>BV05</x:v>
      </x:c>
      <x:c r="B162" s="12" t="str">
        <x:v>BV05-D2</x:v>
      </x:c>
      <x:c r="C162" s="12" t="str">
        <x:v>area</x:v>
      </x:c>
      <x:c r="D162" s="12" t="str">
        <x:v>Extract</x:v>
      </x:c>
      <x:c r="E162" s="13" t="str">
        <x:v>15</x:v>
      </x:c>
      <x:c r="F162" s="14" t="n">
        <x:v>1</x:v>
      </x:c>
      <x:c r="G162" s="12" t="str">
        <x:v>Area: 15</x:v>
      </x:c>
      <x:c r="H162" s="15"/>
      <x:c r="I162" s="16"/>
      <x:c r="J162" s="17"/>
      <x:c r="K162" s="17"/>
      <x:c r="L162" s="17"/>
      <x:c r="M162" s="17"/>
      <x:c r="N162" s="12" t="str">
        <x:v>BV05-02-jamabandi.pdf</x:v>
      </x:c>
      <x:c r="O162" s="12" t="str">
        <x:v>clear</x:v>
      </x:c>
    </x:row>
    <x:row r="163" ht="60" customHeight="1">
      <x:c r="A163" s="12" t="str">
        <x:v>BV05</x:v>
      </x:c>
      <x:c r="B163" s="12" t="str">
        <x:v>BV05-D2</x:v>
      </x:c>
      <x:c r="C163" s="12" t="str">
        <x:v>areaUnit</x:v>
      </x:c>
      <x:c r="D163" s="12" t="str">
        <x:v>Extract</x:v>
      </x:c>
      <x:c r="E163" s="13" t="str">
        <x:v>decimal</x:v>
      </x:c>
      <x:c r="F163" s="14" t="n">
        <x:v>1</x:v>
      </x:c>
      <x:c r="G163" s="12" t="str">
        <x:v>Area unit: decimal</x:v>
      </x:c>
      <x:c r="H163" s="15"/>
      <x:c r="I163" s="16"/>
      <x:c r="J163" s="17"/>
      <x:c r="K163" s="17"/>
      <x:c r="L163" s="17"/>
      <x:c r="M163" s="17"/>
      <x:c r="N163" s="12" t="str">
        <x:v>BV05-02-jamabandi.pdf</x:v>
      </x:c>
      <x:c r="O163" s="12" t="str">
        <x:v>clear</x:v>
      </x:c>
    </x:row>
    <x:row r="164" ht="60" customHeight="1">
      <x:c r="A164" s="12" t="str">
        <x:v>BV05</x:v>
      </x:c>
      <x:c r="B164" s="12" t="str">
        <x:v>BV05-D2</x:v>
      </x:c>
      <x:c r="C164" s="12" t="str">
        <x:v>date</x:v>
      </x:c>
      <x:c r="D164" s="12" t="str">
        <x:v>Extract</x:v>
      </x:c>
      <x:c r="E164" s="13" t="str">
        <x:v>2025-05-22</x:v>
      </x:c>
      <x:c r="F164" s="14" t="n">
        <x:v>1</x:v>
      </x:c>
      <x:c r="G164" s="12" t="str">
        <x:v>Document date: 2025-05-22</x:v>
      </x:c>
      <x:c r="H164" s="15"/>
      <x:c r="I164" s="16"/>
      <x:c r="J164" s="17"/>
      <x:c r="K164" s="17"/>
      <x:c r="L164" s="17"/>
      <x:c r="M164" s="17"/>
      <x:c r="N164" s="12" t="str">
        <x:v>BV05-02-jamabandi.pdf</x:v>
      </x:c>
      <x:c r="O164" s="12" t="str">
        <x:v>clear</x:v>
      </x:c>
    </x:row>
    <x:row r="165" ht="60" customHeight="1">
      <x:c r="A165" s="12" t="str">
        <x:v>BV05</x:v>
      </x:c>
      <x:c r="B165" s="12" t="str">
        <x:v>BV05-D2</x:v>
      </x:c>
      <x:c r="C165" s="12" t="str">
        <x:v>mutationStatus</x:v>
      </x:c>
      <x:c r="D165" s="12" t="str">
        <x:v>Omit</x:v>
      </x:c>
      <x:c r="E165" s="13"/>
      <x:c r="F165" s="14"/>
      <x:c r="G165" s="12"/>
      <x:c r="H165" s="15"/>
      <x:c r="I165" s="16"/>
      <x:c r="J165" s="17"/>
      <x:c r="K165" s="17"/>
      <x:c r="L165" s="17"/>
      <x:c r="M165" s="17"/>
      <x:c r="N165" s="12" t="str">
        <x:v>BV05-02-jamabandi.pdf</x:v>
      </x:c>
      <x:c r="O165" s="12" t="str">
        <x:v>Not stated in this file</x:v>
      </x:c>
    </x:row>
    <x:row r="166" ht="60" customHeight="1">
      <x:c r="A166" s="12" t="str">
        <x:v>BV05</x:v>
      </x:c>
      <x:c r="B166" s="12" t="str">
        <x:v>BV05-D2</x:v>
      </x:c>
      <x:c r="C166" s="12" t="str">
        <x:v>mortgage</x:v>
      </x:c>
      <x:c r="D166" s="12" t="str">
        <x:v>Omit</x:v>
      </x:c>
      <x:c r="E166" s="13"/>
      <x:c r="F166" s="14"/>
      <x:c r="G166" s="12"/>
      <x:c r="H166" s="15"/>
      <x:c r="I166" s="16"/>
      <x:c r="J166" s="17"/>
      <x:c r="K166" s="17"/>
      <x:c r="L166" s="17"/>
      <x:c r="M166" s="17"/>
      <x:c r="N166" s="12" t="str">
        <x:v>BV05-02-jamabandi.pdf</x:v>
      </x:c>
      <x:c r="O166" s="12" t="str">
        <x:v>Not stated in this file</x:v>
      </x:c>
    </x:row>
    <x:row r="167" ht="60" customHeight="1">
      <x:c r="A167" s="12" t="str">
        <x:v>BV05</x:v>
      </x:c>
      <x:c r="B167" s="12" t="str">
        <x:v>BV05-D2</x:v>
      </x:c>
      <x:c r="C167" s="12" t="str">
        <x:v>boundaries</x:v>
      </x:c>
      <x:c r="D167" s="12" t="str">
        <x:v>Omit</x:v>
      </x:c>
      <x:c r="E167" s="13"/>
      <x:c r="F167" s="14"/>
      <x:c r="G167" s="12"/>
      <x:c r="H167" s="15"/>
      <x:c r="I167" s="16"/>
      <x:c r="J167" s="17"/>
      <x:c r="K167" s="17"/>
      <x:c r="L167" s="17"/>
      <x:c r="M167" s="17"/>
      <x:c r="N167" s="12" t="str">
        <x:v>BV05-02-jamabandi.pdf</x:v>
      </x:c>
      <x:c r="O167" s="12" t="str">
        <x:v>Not stated in this file</x:v>
      </x:c>
    </x:row>
    <x:row r="168" ht="60" customHeight="1">
      <x:c r="A168" s="18" t="str">
        <x:v>BV06</x:v>
      </x:c>
      <x:c r="B168" s="18" t="str">
        <x:v>BV06-D1</x:v>
      </x:c>
      <x:c r="C168" s="18" t="str">
        <x:v>owner</x:v>
      </x:c>
      <x:c r="D168" s="18" t="str">
        <x:v>Omit</x:v>
      </x:c>
      <x:c r="E168" s="19"/>
      <x:c r="F168" s="20"/>
      <x:c r="G168" s="18"/>
      <x:c r="H168" s="21"/>
      <x:c r="I168" s="22"/>
      <x:c r="J168" s="23"/>
      <x:c r="K168" s="23"/>
      <x:c r="L168" s="23"/>
      <x:c r="M168" s="23"/>
      <x:c r="N168" s="18" t="str">
        <x:v>BV06-01-sale-deed.pdf</x:v>
      </x:c>
      <x:c r="O168" s="18" t="str">
        <x:v>Not stated in this file</x:v>
      </x:c>
    </x:row>
    <x:row r="169" ht="60" customHeight="1">
      <x:c r="A169" s="12" t="str">
        <x:v>BV06</x:v>
      </x:c>
      <x:c r="B169" s="12" t="str">
        <x:v>BV06-D1</x:v>
      </x:c>
      <x:c r="C169" s="12" t="str">
        <x:v>seller</x:v>
      </x:c>
      <x:c r="D169" s="12" t="str">
        <x:v>Extract</x:v>
      </x:c>
      <x:c r="E169" s="13" t="str">
        <x:v>Mohan Demo</x:v>
      </x:c>
      <x:c r="F169" s="14" t="n">
        <x:v>1</x:v>
      </x:c>
      <x:c r="G169" s="12" t="str">
        <x:v>Seller: Mohan Demo</x:v>
      </x:c>
      <x:c r="H169" s="15"/>
      <x:c r="I169" s="16"/>
      <x:c r="J169" s="17"/>
      <x:c r="K169" s="17"/>
      <x:c r="L169" s="17"/>
      <x:c r="M169" s="17"/>
      <x:c r="N169" s="12" t="str">
        <x:v>BV06-01-sale-deed.pdf</x:v>
      </x:c>
      <x:c r="O169" s="12" t="str">
        <x:v>clear</x:v>
      </x:c>
    </x:row>
    <x:row r="170" ht="60" customHeight="1">
      <x:c r="A170" s="12" t="str">
        <x:v>BV06</x:v>
      </x:c>
      <x:c r="B170" s="12" t="str">
        <x:v>BV06-D1</x:v>
      </x:c>
      <x:c r="C170" s="12" t="str">
        <x:v>buyer</x:v>
      </x:c>
      <x:c r="D170" s="12" t="str">
        <x:v>Extract</x:v>
      </x:c>
      <x:c r="E170" s="13" t="str">
        <x:v>Isha Demo</x:v>
      </x:c>
      <x:c r="F170" s="14" t="n">
        <x:v>1</x:v>
      </x:c>
      <x:c r="G170" s="12" t="str">
        <x:v>Buyer: Isha Demo</x:v>
      </x:c>
      <x:c r="H170" s="15"/>
      <x:c r="I170" s="16"/>
      <x:c r="J170" s="17"/>
      <x:c r="K170" s="17"/>
      <x:c r="L170" s="17"/>
      <x:c r="M170" s="17"/>
      <x:c r="N170" s="12" t="str">
        <x:v>BV06-01-sale-deed.pdf</x:v>
      </x:c>
      <x:c r="O170" s="12" t="str">
        <x:v>clear</x:v>
      </x:c>
    </x:row>
    <x:row r="171" ht="60" customHeight="1">
      <x:c r="A171" s="12" t="str">
        <x:v>BV06</x:v>
      </x:c>
      <x:c r="B171" s="12" t="str">
        <x:v>BV06-D1</x:v>
      </x:c>
      <x:c r="C171" s="12" t="str">
        <x:v>district</x:v>
      </x:c>
      <x:c r="D171" s="12" t="str">
        <x:v>Extract</x:v>
      </x:c>
      <x:c r="E171" s="13" t="str">
        <x:v>Bhagalpur</x:v>
      </x:c>
      <x:c r="F171" s="14" t="n">
        <x:v>1</x:v>
      </x:c>
      <x:c r="G171" s="12" t="str">
        <x:v>District: Bhagalpur</x:v>
      </x:c>
      <x:c r="H171" s="15"/>
      <x:c r="I171" s="16"/>
      <x:c r="J171" s="17"/>
      <x:c r="K171" s="17"/>
      <x:c r="L171" s="17"/>
      <x:c r="M171" s="17"/>
      <x:c r="N171" s="12" t="str">
        <x:v>BV06-01-sale-deed.pdf</x:v>
      </x:c>
      <x:c r="O171" s="12" t="str">
        <x:v>clear</x:v>
      </x:c>
    </x:row>
    <x:row r="172" ht="60" customHeight="1">
      <x:c r="A172" s="12" t="str">
        <x:v>BV06</x:v>
      </x:c>
      <x:c r="B172" s="12" t="str">
        <x:v>BV06-D1</x:v>
      </x:c>
      <x:c r="C172" s="12" t="str">
        <x:v>circle</x:v>
      </x:c>
      <x:c r="D172" s="12" t="str">
        <x:v>Extract</x:v>
      </x:c>
      <x:c r="E172" s="13" t="str">
        <x:v>Jagdishpur</x:v>
      </x:c>
      <x:c r="F172" s="14" t="n">
        <x:v>1</x:v>
      </x:c>
      <x:c r="G172" s="12" t="str">
        <x:v>Anchal / circle: Jagdishpur</x:v>
      </x:c>
      <x:c r="H172" s="15"/>
      <x:c r="I172" s="16"/>
      <x:c r="J172" s="17"/>
      <x:c r="K172" s="17"/>
      <x:c r="L172" s="17"/>
      <x:c r="M172" s="17"/>
      <x:c r="N172" s="12" t="str">
        <x:v>BV06-01-sale-deed.pdf</x:v>
      </x:c>
      <x:c r="O172" s="12" t="str">
        <x:v>clear</x:v>
      </x:c>
    </x:row>
    <x:row r="173" ht="60" customHeight="1">
      <x:c r="A173" s="12" t="str">
        <x:v>BV06</x:v>
      </x:c>
      <x:c r="B173" s="12" t="str">
        <x:v>BV06-D1</x:v>
      </x:c>
      <x:c r="C173" s="12" t="str">
        <x:v>mauza</x:v>
      </x:c>
      <x:c r="D173" s="12" t="str">
        <x:v>Extract</x:v>
      </x:c>
      <x:c r="E173" s="13" t="str">
        <x:v>Navrang Demo Mauza</x:v>
      </x:c>
      <x:c r="F173" s="14" t="n">
        <x:v>1</x:v>
      </x:c>
      <x:c r="G173" s="12" t="str">
        <x:v>Mauza (fictional village): Navrang Demo Mauza</x:v>
      </x:c>
      <x:c r="H173" s="15"/>
      <x:c r="I173" s="16"/>
      <x:c r="J173" s="17"/>
      <x:c r="K173" s="17"/>
      <x:c r="L173" s="17"/>
      <x:c r="M173" s="17"/>
      <x:c r="N173" s="12" t="str">
        <x:v>BV06-01-sale-deed.pdf</x:v>
      </x:c>
      <x:c r="O173" s="12" t="str">
        <x:v>clear</x:v>
      </x:c>
    </x:row>
    <x:row r="174" ht="60" customHeight="1">
      <x:c r="A174" s="12" t="str">
        <x:v>BV06</x:v>
      </x:c>
      <x:c r="B174" s="12" t="str">
        <x:v>BV06-D1</x:v>
      </x:c>
      <x:c r="C174" s="12" t="str">
        <x:v>thana</x:v>
      </x:c>
      <x:c r="D174" s="12" t="str">
        <x:v>Omit</x:v>
      </x:c>
      <x:c r="E174" s="13"/>
      <x:c r="F174" s="14"/>
      <x:c r="G174" s="12"/>
      <x:c r="H174" s="15"/>
      <x:c r="I174" s="16"/>
      <x:c r="J174" s="17"/>
      <x:c r="K174" s="17"/>
      <x:c r="L174" s="17"/>
      <x:c r="M174" s="17"/>
      <x:c r="N174" s="12" t="str">
        <x:v>BV06-01-sale-deed.pdf</x:v>
      </x:c>
      <x:c r="O174" s="12" t="str">
        <x:v>Not stated in this file</x:v>
      </x:c>
    </x:row>
    <x:row r="175" ht="60" customHeight="1">
      <x:c r="A175" s="12" t="str">
        <x:v>BV06</x:v>
      </x:c>
      <x:c r="B175" s="12" t="str">
        <x:v>BV06-D1</x:v>
      </x:c>
      <x:c r="C175" s="12" t="str">
        <x:v>khata</x:v>
      </x:c>
      <x:c r="D175" s="12" t="str">
        <x:v>Extract</x:v>
      </x:c>
      <x:c r="E175" s="24" t="str">
        <x:v>0039</x:v>
      </x:c>
      <x:c r="F175" s="14" t="n">
        <x:v>1</x:v>
      </x:c>
      <x:c r="G175" s="12" t="str">
        <x:v>Khata: 0039</x:v>
      </x:c>
      <x:c r="H175" s="15"/>
      <x:c r="I175" s="16"/>
      <x:c r="J175" s="17"/>
      <x:c r="K175" s="17"/>
      <x:c r="L175" s="17"/>
      <x:c r="M175" s="17"/>
      <x:c r="N175" s="12" t="str">
        <x:v>BV06-01-sale-deed.pdf</x:v>
      </x:c>
      <x:c r="O175" s="12" t="str">
        <x:v>clear</x:v>
      </x:c>
    </x:row>
    <x:row r="176" ht="60" customHeight="1">
      <x:c r="A176" s="12" t="str">
        <x:v>BV06</x:v>
      </x:c>
      <x:c r="B176" s="12" t="str">
        <x:v>BV06-D1</x:v>
      </x:c>
      <x:c r="C176" s="12" t="str">
        <x:v>khesra</x:v>
      </x:c>
      <x:c r="D176" s="12" t="str">
        <x:v>Extract</x:v>
      </x:c>
      <x:c r="E176" s="24" t="str">
        <x:v>0187</x:v>
      </x:c>
      <x:c r="F176" s="14" t="n">
        <x:v>1</x:v>
      </x:c>
      <x:c r="G176" s="12" t="str">
        <x:v>Khesra: 0187</x:v>
      </x:c>
      <x:c r="H176" s="15"/>
      <x:c r="I176" s="16"/>
      <x:c r="J176" s="17"/>
      <x:c r="K176" s="17"/>
      <x:c r="L176" s="17"/>
      <x:c r="M176" s="17"/>
      <x:c r="N176" s="12" t="str">
        <x:v>BV06-01-sale-deed.pdf</x:v>
      </x:c>
      <x:c r="O176" s="12" t="str">
        <x:v>clear</x:v>
      </x:c>
    </x:row>
    <x:row r="177" ht="60" customHeight="1">
      <x:c r="A177" s="12" t="str">
        <x:v>BV06</x:v>
      </x:c>
      <x:c r="B177" s="12" t="str">
        <x:v>BV06-D1</x:v>
      </x:c>
      <x:c r="C177" s="12" t="str">
        <x:v>jamabandi</x:v>
      </x:c>
      <x:c r="D177" s="12" t="str">
        <x:v>Omit</x:v>
      </x:c>
      <x:c r="E177" s="13"/>
      <x:c r="F177" s="14"/>
      <x:c r="G177" s="12"/>
      <x:c r="H177" s="15"/>
      <x:c r="I177" s="16"/>
      <x:c r="J177" s="17"/>
      <x:c r="K177" s="17"/>
      <x:c r="L177" s="17"/>
      <x:c r="M177" s="17"/>
      <x:c r="N177" s="12" t="str">
        <x:v>BV06-01-sale-deed.pdf</x:v>
      </x:c>
      <x:c r="O177" s="12" t="str">
        <x:v>Not stated in this file</x:v>
      </x:c>
    </x:row>
    <x:row r="178" ht="60" customHeight="1">
      <x:c r="A178" s="12" t="str">
        <x:v>BV06</x:v>
      </x:c>
      <x:c r="B178" s="12" t="str">
        <x:v>BV06-D1</x:v>
      </x:c>
      <x:c r="C178" s="12" t="str">
        <x:v>area</x:v>
      </x:c>
      <x:c r="D178" s="12" t="str">
        <x:v>Extract</x:v>
      </x:c>
      <x:c r="E178" s="13" t="str">
        <x:v>600</x:v>
      </x:c>
      <x:c r="F178" s="14" t="n">
        <x:v>1</x:v>
      </x:c>
      <x:c r="G178" s="12" t="str">
        <x:v>Area: 600</x:v>
      </x:c>
      <x:c r="H178" s="15"/>
      <x:c r="I178" s="16"/>
      <x:c r="J178" s="17"/>
      <x:c r="K178" s="17"/>
      <x:c r="L178" s="17"/>
      <x:c r="M178" s="17"/>
      <x:c r="N178" s="12" t="str">
        <x:v>BV06-01-sale-deed.pdf</x:v>
      </x:c>
      <x:c r="O178" s="12" t="str">
        <x:v>clear</x:v>
      </x:c>
    </x:row>
    <x:row r="179" ht="60" customHeight="1">
      <x:c r="A179" s="12" t="str">
        <x:v>BV06</x:v>
      </x:c>
      <x:c r="B179" s="12" t="str">
        <x:v>BV06-D1</x:v>
      </x:c>
      <x:c r="C179" s="12" t="str">
        <x:v>areaUnit</x:v>
      </x:c>
      <x:c r="D179" s="12" t="str">
        <x:v>Extract</x:v>
      </x:c>
      <x:c r="E179" s="13" t="str">
        <x:v>sq m</x:v>
      </x:c>
      <x:c r="F179" s="14" t="n">
        <x:v>1</x:v>
      </x:c>
      <x:c r="G179" s="12" t="str">
        <x:v>Area unit: sq m</x:v>
      </x:c>
      <x:c r="H179" s="15"/>
      <x:c r="I179" s="16"/>
      <x:c r="J179" s="17"/>
      <x:c r="K179" s="17"/>
      <x:c r="L179" s="17"/>
      <x:c r="M179" s="17"/>
      <x:c r="N179" s="12" t="str">
        <x:v>BV06-01-sale-deed.pdf</x:v>
      </x:c>
      <x:c r="O179" s="12" t="str">
        <x:v>clear</x:v>
      </x:c>
    </x:row>
    <x:row r="180" ht="60" customHeight="1">
      <x:c r="A180" s="12" t="str">
        <x:v>BV06</x:v>
      </x:c>
      <x:c r="B180" s="12" t="str">
        <x:v>BV06-D1</x:v>
      </x:c>
      <x:c r="C180" s="12" t="str">
        <x:v>date</x:v>
      </x:c>
      <x:c r="D180" s="12" t="str">
        <x:v>Extract</x:v>
      </x:c>
      <x:c r="E180" s="13" t="str">
        <x:v>2025-10-16</x:v>
      </x:c>
      <x:c r="F180" s="14" t="n">
        <x:v>1</x:v>
      </x:c>
      <x:c r="G180" s="12" t="str">
        <x:v>Document date: 2025-10-16</x:v>
      </x:c>
      <x:c r="H180" s="15"/>
      <x:c r="I180" s="16"/>
      <x:c r="J180" s="17"/>
      <x:c r="K180" s="17"/>
      <x:c r="L180" s="17"/>
      <x:c r="M180" s="17"/>
      <x:c r="N180" s="12" t="str">
        <x:v>BV06-01-sale-deed.pdf</x:v>
      </x:c>
      <x:c r="O180" s="12" t="str">
        <x:v>clear</x:v>
      </x:c>
    </x:row>
    <x:row r="181" ht="60" customHeight="1">
      <x:c r="A181" s="12" t="str">
        <x:v>BV06</x:v>
      </x:c>
      <x:c r="B181" s="12" t="str">
        <x:v>BV06-D1</x:v>
      </x:c>
      <x:c r="C181" s="12" t="str">
        <x:v>mutationStatus</x:v>
      </x:c>
      <x:c r="D181" s="12" t="str">
        <x:v>Omit</x:v>
      </x:c>
      <x:c r="E181" s="13"/>
      <x:c r="F181" s="14"/>
      <x:c r="G181" s="12"/>
      <x:c r="H181" s="15"/>
      <x:c r="I181" s="16"/>
      <x:c r="J181" s="17"/>
      <x:c r="K181" s="17"/>
      <x:c r="L181" s="17"/>
      <x:c r="M181" s="17"/>
      <x:c r="N181" s="12" t="str">
        <x:v>BV06-01-sale-deed.pdf</x:v>
      </x:c>
      <x:c r="O181" s="12" t="str">
        <x:v>Not stated in this file</x:v>
      </x:c>
    </x:row>
    <x:row r="182" ht="60" customHeight="1">
      <x:c r="A182" s="12" t="str">
        <x:v>BV06</x:v>
      </x:c>
      <x:c r="B182" s="12" t="str">
        <x:v>BV06-D1</x:v>
      </x:c>
      <x:c r="C182" s="12" t="str">
        <x:v>mortgage</x:v>
      </x:c>
      <x:c r="D182" s="12" t="str">
        <x:v>Omit</x:v>
      </x:c>
      <x:c r="E182" s="13"/>
      <x:c r="F182" s="14"/>
      <x:c r="G182" s="12"/>
      <x:c r="H182" s="15"/>
      <x:c r="I182" s="16"/>
      <x:c r="J182" s="17"/>
      <x:c r="K182" s="17"/>
      <x:c r="L182" s="17"/>
      <x:c r="M182" s="17"/>
      <x:c r="N182" s="12" t="str">
        <x:v>BV06-01-sale-deed.pdf</x:v>
      </x:c>
      <x:c r="O182" s="12" t="str">
        <x:v>Not stated in this file</x:v>
      </x:c>
    </x:row>
    <x:row r="183" ht="60" customHeight="1">
      <x:c r="A183" s="12" t="str">
        <x:v>BV06</x:v>
      </x:c>
      <x:c r="B183" s="12" t="str">
        <x:v>BV06-D1</x:v>
      </x:c>
      <x:c r="C183" s="12" t="str">
        <x:v>boundaries</x:v>
      </x:c>
      <x:c r="D183" s="12" t="str">
        <x:v>Omit</x:v>
      </x:c>
      <x:c r="E183" s="13"/>
      <x:c r="F183" s="14"/>
      <x:c r="G183" s="12"/>
      <x:c r="H183" s="15"/>
      <x:c r="I183" s="16"/>
      <x:c r="J183" s="17"/>
      <x:c r="K183" s="17"/>
      <x:c r="L183" s="17"/>
      <x:c r="M183" s="17"/>
      <x:c r="N183" s="12" t="str">
        <x:v>BV06-01-sale-deed.pdf</x:v>
      </x:c>
      <x:c r="O183" s="12" t="str">
        <x:v>Not stated in this file</x:v>
      </x:c>
    </x:row>
    <x:row r="184" ht="60" customHeight="1">
      <x:c r="A184" s="18" t="str">
        <x:v>BV06</x:v>
      </x:c>
      <x:c r="B184" s="18" t="str">
        <x:v>BV06-D2</x:v>
      </x:c>
      <x:c r="C184" s="18" t="str">
        <x:v>owner</x:v>
      </x:c>
      <x:c r="D184" s="18" t="str">
        <x:v>Extract</x:v>
      </x:c>
      <x:c r="E184" s="19" t="str">
        <x:v>Karan Demo</x:v>
      </x:c>
      <x:c r="F184" s="20" t="n">
        <x:v>1</x:v>
      </x:c>
      <x:c r="G184" s="18" t="str">
        <x:v>Recorded owner: Karan Demo</x:v>
      </x:c>
      <x:c r="H184" s="21"/>
      <x:c r="I184" s="22"/>
      <x:c r="J184" s="23"/>
      <x:c r="K184" s="23"/>
      <x:c r="L184" s="23"/>
      <x:c r="M184" s="23"/>
      <x:c r="N184" s="18" t="str">
        <x:v>BV06-02-jamabandi.pdf</x:v>
      </x:c>
      <x:c r="O184" s="18" t="str">
        <x:v>clear</x:v>
      </x:c>
    </x:row>
    <x:row r="185" ht="60" customHeight="1">
      <x:c r="A185" s="12" t="str">
        <x:v>BV06</x:v>
      </x:c>
      <x:c r="B185" s="12" t="str">
        <x:v>BV06-D2</x:v>
      </x:c>
      <x:c r="C185" s="12" t="str">
        <x:v>seller</x:v>
      </x:c>
      <x:c r="D185" s="12" t="str">
        <x:v>Omit</x:v>
      </x:c>
      <x:c r="E185" s="13"/>
      <x:c r="F185" s="14"/>
      <x:c r="G185" s="12"/>
      <x:c r="H185" s="15"/>
      <x:c r="I185" s="16"/>
      <x:c r="J185" s="17"/>
      <x:c r="K185" s="17"/>
      <x:c r="L185" s="17"/>
      <x:c r="M185" s="17"/>
      <x:c r="N185" s="12" t="str">
        <x:v>BV06-02-jamabandi.pdf</x:v>
      </x:c>
      <x:c r="O185" s="12" t="str">
        <x:v>Not stated in this file</x:v>
      </x:c>
    </x:row>
    <x:row r="186" ht="60" customHeight="1">
      <x:c r="A186" s="12" t="str">
        <x:v>BV06</x:v>
      </x:c>
      <x:c r="B186" s="12" t="str">
        <x:v>BV06-D2</x:v>
      </x:c>
      <x:c r="C186" s="12" t="str">
        <x:v>buyer</x:v>
      </x:c>
      <x:c r="D186" s="12" t="str">
        <x:v>Omit</x:v>
      </x:c>
      <x:c r="E186" s="13"/>
      <x:c r="F186" s="14"/>
      <x:c r="G186" s="12"/>
      <x:c r="H186" s="15"/>
      <x:c r="I186" s="16"/>
      <x:c r="J186" s="17"/>
      <x:c r="K186" s="17"/>
      <x:c r="L186" s="17"/>
      <x:c r="M186" s="17"/>
      <x:c r="N186" s="12" t="str">
        <x:v>BV06-02-jamabandi.pdf</x:v>
      </x:c>
      <x:c r="O186" s="12" t="str">
        <x:v>Not stated in this file</x:v>
      </x:c>
    </x:row>
    <x:row r="187" ht="60" customHeight="1">
      <x:c r="A187" s="12" t="str">
        <x:v>BV06</x:v>
      </x:c>
      <x:c r="B187" s="12" t="str">
        <x:v>BV06-D2</x:v>
      </x:c>
      <x:c r="C187" s="12" t="str">
        <x:v>district</x:v>
      </x:c>
      <x:c r="D187" s="12" t="str">
        <x:v>Extract</x:v>
      </x:c>
      <x:c r="E187" s="13" t="str">
        <x:v>Bhagalpur</x:v>
      </x:c>
      <x:c r="F187" s="14" t="n">
        <x:v>1</x:v>
      </x:c>
      <x:c r="G187" s="12" t="str">
        <x:v>District: Bhagalpur</x:v>
      </x:c>
      <x:c r="H187" s="15"/>
      <x:c r="I187" s="16"/>
      <x:c r="J187" s="17"/>
      <x:c r="K187" s="17"/>
      <x:c r="L187" s="17"/>
      <x:c r="M187" s="17"/>
      <x:c r="N187" s="12" t="str">
        <x:v>BV06-02-jamabandi.pdf</x:v>
      </x:c>
      <x:c r="O187" s="12" t="str">
        <x:v>clear</x:v>
      </x:c>
    </x:row>
    <x:row r="188" ht="60" customHeight="1">
      <x:c r="A188" s="12" t="str">
        <x:v>BV06</x:v>
      </x:c>
      <x:c r="B188" s="12" t="str">
        <x:v>BV06-D2</x:v>
      </x:c>
      <x:c r="C188" s="12" t="str">
        <x:v>circle</x:v>
      </x:c>
      <x:c r="D188" s="12" t="str">
        <x:v>Extract</x:v>
      </x:c>
      <x:c r="E188" s="13" t="str">
        <x:v>Jagdishpur</x:v>
      </x:c>
      <x:c r="F188" s="14" t="n">
        <x:v>1</x:v>
      </x:c>
      <x:c r="G188" s="12" t="str">
        <x:v>Anchal / circle: Jagdishpur</x:v>
      </x:c>
      <x:c r="H188" s="15"/>
      <x:c r="I188" s="16"/>
      <x:c r="J188" s="17"/>
      <x:c r="K188" s="17"/>
      <x:c r="L188" s="17"/>
      <x:c r="M188" s="17"/>
      <x:c r="N188" s="12" t="str">
        <x:v>BV06-02-jamabandi.pdf</x:v>
      </x:c>
      <x:c r="O188" s="12" t="str">
        <x:v>clear</x:v>
      </x:c>
    </x:row>
    <x:row r="189" ht="60" customHeight="1">
      <x:c r="A189" s="12" t="str">
        <x:v>BV06</x:v>
      </x:c>
      <x:c r="B189" s="12" t="str">
        <x:v>BV06-D2</x:v>
      </x:c>
      <x:c r="C189" s="12" t="str">
        <x:v>mauza</x:v>
      </x:c>
      <x:c r="D189" s="12" t="str">
        <x:v>Extract</x:v>
      </x:c>
      <x:c r="E189" s="13" t="str">
        <x:v>Navrang Demo Mauza</x:v>
      </x:c>
      <x:c r="F189" s="14" t="n">
        <x:v>1</x:v>
      </x:c>
      <x:c r="G189" s="12" t="str">
        <x:v>Mauza (fictional village): Navrang Demo Mauza</x:v>
      </x:c>
      <x:c r="H189" s="15"/>
      <x:c r="I189" s="16"/>
      <x:c r="J189" s="17"/>
      <x:c r="K189" s="17"/>
      <x:c r="L189" s="17"/>
      <x:c r="M189" s="17"/>
      <x:c r="N189" s="12" t="str">
        <x:v>BV06-02-jamabandi.pdf</x:v>
      </x:c>
      <x:c r="O189" s="12" t="str">
        <x:v>clear</x:v>
      </x:c>
    </x:row>
    <x:row r="190" ht="60" customHeight="1">
      <x:c r="A190" s="12" t="str">
        <x:v>BV06</x:v>
      </x:c>
      <x:c r="B190" s="12" t="str">
        <x:v>BV06-D2</x:v>
      </x:c>
      <x:c r="C190" s="12" t="str">
        <x:v>thana</x:v>
      </x:c>
      <x:c r="D190" s="12" t="str">
        <x:v>Omit</x:v>
      </x:c>
      <x:c r="E190" s="13"/>
      <x:c r="F190" s="14"/>
      <x:c r="G190" s="12"/>
      <x:c r="H190" s="15"/>
      <x:c r="I190" s="16"/>
      <x:c r="J190" s="17"/>
      <x:c r="K190" s="17"/>
      <x:c r="L190" s="17"/>
      <x:c r="M190" s="17"/>
      <x:c r="N190" s="12" t="str">
        <x:v>BV06-02-jamabandi.pdf</x:v>
      </x:c>
      <x:c r="O190" s="12" t="str">
        <x:v>Not stated in this file</x:v>
      </x:c>
    </x:row>
    <x:row r="191" ht="60" customHeight="1">
      <x:c r="A191" s="12" t="str">
        <x:v>BV06</x:v>
      </x:c>
      <x:c r="B191" s="12" t="str">
        <x:v>BV06-D2</x:v>
      </x:c>
      <x:c r="C191" s="12" t="str">
        <x:v>khata</x:v>
      </x:c>
      <x:c r="D191" s="12" t="str">
        <x:v>Extract</x:v>
      </x:c>
      <x:c r="E191" s="24" t="str">
        <x:v>0039</x:v>
      </x:c>
      <x:c r="F191" s="14" t="n">
        <x:v>1</x:v>
      </x:c>
      <x:c r="G191" s="12" t="str">
        <x:v>Khata: 0039</x:v>
      </x:c>
      <x:c r="H191" s="15"/>
      <x:c r="I191" s="16"/>
      <x:c r="J191" s="17"/>
      <x:c r="K191" s="17"/>
      <x:c r="L191" s="17"/>
      <x:c r="M191" s="17"/>
      <x:c r="N191" s="12" t="str">
        <x:v>BV06-02-jamabandi.pdf</x:v>
      </x:c>
      <x:c r="O191" s="12" t="str">
        <x:v>clear</x:v>
      </x:c>
    </x:row>
    <x:row r="192" ht="60" customHeight="1">
      <x:c r="A192" s="12" t="str">
        <x:v>BV06</x:v>
      </x:c>
      <x:c r="B192" s="12" t="str">
        <x:v>BV06-D2</x:v>
      </x:c>
      <x:c r="C192" s="12" t="str">
        <x:v>khesra</x:v>
      </x:c>
      <x:c r="D192" s="12" t="str">
        <x:v>Extract</x:v>
      </x:c>
      <x:c r="E192" s="24" t="str">
        <x:v>0187</x:v>
      </x:c>
      <x:c r="F192" s="14" t="n">
        <x:v>1</x:v>
      </x:c>
      <x:c r="G192" s="12" t="str">
        <x:v>Khesra: 0187</x:v>
      </x:c>
      <x:c r="H192" s="15"/>
      <x:c r="I192" s="16"/>
      <x:c r="J192" s="17"/>
      <x:c r="K192" s="17"/>
      <x:c r="L192" s="17"/>
      <x:c r="M192" s="17"/>
      <x:c r="N192" s="12" t="str">
        <x:v>BV06-02-jamabandi.pdf</x:v>
      </x:c>
      <x:c r="O192" s="12" t="str">
        <x:v>clear</x:v>
      </x:c>
    </x:row>
    <x:row r="193" ht="60" customHeight="1">
      <x:c r="A193" s="12" t="str">
        <x:v>BV06</x:v>
      </x:c>
      <x:c r="B193" s="12" t="str">
        <x:v>BV06-D2</x:v>
      </x:c>
      <x:c r="C193" s="12" t="str">
        <x:v>jamabandi</x:v>
      </x:c>
      <x:c r="D193" s="12" t="str">
        <x:v>Extract</x:v>
      </x:c>
      <x:c r="E193" s="13" t="str">
        <x:v>DEMO-JB-606</x:v>
      </x:c>
      <x:c r="F193" s="14" t="n">
        <x:v>1</x:v>
      </x:c>
      <x:c r="G193" s="12" t="str">
        <x:v>Jamabandi reference: DEMO-JB-606</x:v>
      </x:c>
      <x:c r="H193" s="15"/>
      <x:c r="I193" s="16"/>
      <x:c r="J193" s="17"/>
      <x:c r="K193" s="17"/>
      <x:c r="L193" s="17"/>
      <x:c r="M193" s="17"/>
      <x:c r="N193" s="12" t="str">
        <x:v>BV06-02-jamabandi.pdf</x:v>
      </x:c>
      <x:c r="O193" s="12" t="str">
        <x:v>clear</x:v>
      </x:c>
    </x:row>
    <x:row r="194" ht="60" customHeight="1">
      <x:c r="A194" s="12" t="str">
        <x:v>BV06</x:v>
      </x:c>
      <x:c r="B194" s="12" t="str">
        <x:v>BV06-D2</x:v>
      </x:c>
      <x:c r="C194" s="12" t="str">
        <x:v>area</x:v>
      </x:c>
      <x:c r="D194" s="12" t="str">
        <x:v>Extract</x:v>
      </x:c>
      <x:c r="E194" s="13" t="str">
        <x:v>600</x:v>
      </x:c>
      <x:c r="F194" s="14" t="n">
        <x:v>1</x:v>
      </x:c>
      <x:c r="G194" s="12" t="str">
        <x:v>Area: 600</x:v>
      </x:c>
      <x:c r="H194" s="15"/>
      <x:c r="I194" s="16"/>
      <x:c r="J194" s="17"/>
      <x:c r="K194" s="17"/>
      <x:c r="L194" s="17"/>
      <x:c r="M194" s="17"/>
      <x:c r="N194" s="12" t="str">
        <x:v>BV06-02-jamabandi.pdf</x:v>
      </x:c>
      <x:c r="O194" s="12" t="str">
        <x:v>clear</x:v>
      </x:c>
    </x:row>
    <x:row r="195" ht="60" customHeight="1">
      <x:c r="A195" s="12" t="str">
        <x:v>BV06</x:v>
      </x:c>
      <x:c r="B195" s="12" t="str">
        <x:v>BV06-D2</x:v>
      </x:c>
      <x:c r="C195" s="12" t="str">
        <x:v>areaUnit</x:v>
      </x:c>
      <x:c r="D195" s="12" t="str">
        <x:v>Extract</x:v>
      </x:c>
      <x:c r="E195" s="13" t="str">
        <x:v>sq m</x:v>
      </x:c>
      <x:c r="F195" s="14" t="n">
        <x:v>1</x:v>
      </x:c>
      <x:c r="G195" s="12" t="str">
        <x:v>Area unit: sq m</x:v>
      </x:c>
      <x:c r="H195" s="15"/>
      <x:c r="I195" s="16"/>
      <x:c r="J195" s="17"/>
      <x:c r="K195" s="17"/>
      <x:c r="L195" s="17"/>
      <x:c r="M195" s="17"/>
      <x:c r="N195" s="12" t="str">
        <x:v>BV06-02-jamabandi.pdf</x:v>
      </x:c>
      <x:c r="O195" s="12" t="str">
        <x:v>clear</x:v>
      </x:c>
    </x:row>
    <x:row r="196" ht="60" customHeight="1">
      <x:c r="A196" s="12" t="str">
        <x:v>BV06</x:v>
      </x:c>
      <x:c r="B196" s="12" t="str">
        <x:v>BV06-D2</x:v>
      </x:c>
      <x:c r="C196" s="12" t="str">
        <x:v>date</x:v>
      </x:c>
      <x:c r="D196" s="12" t="str">
        <x:v>Extract</x:v>
      </x:c>
      <x:c r="E196" s="13" t="str">
        <x:v>2026-06-20</x:v>
      </x:c>
      <x:c r="F196" s="14" t="n">
        <x:v>1</x:v>
      </x:c>
      <x:c r="G196" s="12" t="str">
        <x:v>Document date: 2026-06-20</x:v>
      </x:c>
      <x:c r="H196" s="15"/>
      <x:c r="I196" s="16"/>
      <x:c r="J196" s="17"/>
      <x:c r="K196" s="17"/>
      <x:c r="L196" s="17"/>
      <x:c r="M196" s="17"/>
      <x:c r="N196" s="12" t="str">
        <x:v>BV06-02-jamabandi.pdf</x:v>
      </x:c>
      <x:c r="O196" s="12" t="str">
        <x:v>clear</x:v>
      </x:c>
    </x:row>
    <x:row r="197" ht="60" customHeight="1">
      <x:c r="A197" s="12" t="str">
        <x:v>BV06</x:v>
      </x:c>
      <x:c r="B197" s="12" t="str">
        <x:v>BV06-D2</x:v>
      </x:c>
      <x:c r="C197" s="12" t="str">
        <x:v>mutationStatus</x:v>
      </x:c>
      <x:c r="D197" s="12" t="str">
        <x:v>Omit</x:v>
      </x:c>
      <x:c r="E197" s="13"/>
      <x:c r="F197" s="14"/>
      <x:c r="G197" s="12"/>
      <x:c r="H197" s="15"/>
      <x:c r="I197" s="16"/>
      <x:c r="J197" s="17"/>
      <x:c r="K197" s="17"/>
      <x:c r="L197" s="17"/>
      <x:c r="M197" s="17"/>
      <x:c r="N197" s="12" t="str">
        <x:v>BV06-02-jamabandi.pdf</x:v>
      </x:c>
      <x:c r="O197" s="12" t="str">
        <x:v>Not stated in this file</x:v>
      </x:c>
    </x:row>
    <x:row r="198" ht="60" customHeight="1">
      <x:c r="A198" s="12" t="str">
        <x:v>BV06</x:v>
      </x:c>
      <x:c r="B198" s="12" t="str">
        <x:v>BV06-D2</x:v>
      </x:c>
      <x:c r="C198" s="12" t="str">
        <x:v>mortgage</x:v>
      </x:c>
      <x:c r="D198" s="12" t="str">
        <x:v>Omit</x:v>
      </x:c>
      <x:c r="E198" s="13"/>
      <x:c r="F198" s="14"/>
      <x:c r="G198" s="12"/>
      <x:c r="H198" s="15"/>
      <x:c r="I198" s="16"/>
      <x:c r="J198" s="17"/>
      <x:c r="K198" s="17"/>
      <x:c r="L198" s="17"/>
      <x:c r="M198" s="17"/>
      <x:c r="N198" s="12" t="str">
        <x:v>BV06-02-jamabandi.pdf</x:v>
      </x:c>
      <x:c r="O198" s="12" t="str">
        <x:v>Not stated in this file</x:v>
      </x:c>
    </x:row>
    <x:row r="199" ht="60" customHeight="1">
      <x:c r="A199" s="12" t="str">
        <x:v>BV06</x:v>
      </x:c>
      <x:c r="B199" s="12" t="str">
        <x:v>BV06-D2</x:v>
      </x:c>
      <x:c r="C199" s="12" t="str">
        <x:v>boundaries</x:v>
      </x:c>
      <x:c r="D199" s="12" t="str">
        <x:v>Omit</x:v>
      </x:c>
      <x:c r="E199" s="13"/>
      <x:c r="F199" s="14"/>
      <x:c r="G199" s="12"/>
      <x:c r="H199" s="15"/>
      <x:c r="I199" s="16"/>
      <x:c r="J199" s="17"/>
      <x:c r="K199" s="17"/>
      <x:c r="L199" s="17"/>
      <x:c r="M199" s="17"/>
      <x:c r="N199" s="12" t="str">
        <x:v>BV06-02-jamabandi.pdf</x:v>
      </x:c>
      <x:c r="O199" s="12" t="str">
        <x:v>Not stated in this file</x:v>
      </x:c>
    </x:row>
    <x:row r="200" ht="60" customHeight="1">
      <x:c r="A200" s="18" t="str">
        <x:v>BV07</x:v>
      </x:c>
      <x:c r="B200" s="18" t="str">
        <x:v>BV07-D1</x:v>
      </x:c>
      <x:c r="C200" s="18" t="str">
        <x:v>owner</x:v>
      </x:c>
      <x:c r="D200" s="18" t="str">
        <x:v>Omit</x:v>
      </x:c>
      <x:c r="E200" s="19"/>
      <x:c r="F200" s="20"/>
      <x:c r="G200" s="18"/>
      <x:c r="H200" s="21"/>
      <x:c r="I200" s="22"/>
      <x:c r="J200" s="23"/>
      <x:c r="K200" s="23"/>
      <x:c r="L200" s="23"/>
      <x:c r="M200" s="23"/>
      <x:c r="N200" s="18" t="str">
        <x:v>BV07-01-sale-deed.pdf</x:v>
      </x:c>
      <x:c r="O200" s="18" t="str">
        <x:v>Not stated in this file</x:v>
      </x:c>
    </x:row>
    <x:row r="201" ht="60" customHeight="1">
      <x:c r="A201" s="12" t="str">
        <x:v>BV07</x:v>
      </x:c>
      <x:c r="B201" s="12" t="str">
        <x:v>BV07-D1</x:v>
      </x:c>
      <x:c r="C201" s="12" t="str">
        <x:v>seller</x:v>
      </x:c>
      <x:c r="D201" s="12" t="str">
        <x:v>Extract</x:v>
      </x:c>
      <x:c r="E201" s="13" t="str">
        <x:v>Suman Demo</x:v>
      </x:c>
      <x:c r="F201" s="14" t="n">
        <x:v>1</x:v>
      </x:c>
      <x:c r="G201" s="12" t="str">
        <x:v>Seller: Suman Demo</x:v>
      </x:c>
      <x:c r="H201" s="15"/>
      <x:c r="I201" s="16"/>
      <x:c r="J201" s="17"/>
      <x:c r="K201" s="17"/>
      <x:c r="L201" s="17"/>
      <x:c r="M201" s="17"/>
      <x:c r="N201" s="12" t="str">
        <x:v>BV07-01-sale-deed.pdf</x:v>
      </x:c>
      <x:c r="O201" s="12" t="str">
        <x:v>clear</x:v>
      </x:c>
    </x:row>
    <x:row r="202" ht="60" customHeight="1">
      <x:c r="A202" s="12" t="str">
        <x:v>BV07</x:v>
      </x:c>
      <x:c r="B202" s="12" t="str">
        <x:v>BV07-D1</x:v>
      </x:c>
      <x:c r="C202" s="12" t="str">
        <x:v>buyer</x:v>
      </x:c>
      <x:c r="D202" s="12" t="str">
        <x:v>Extract</x:v>
      </x:c>
      <x:c r="E202" s="13" t="str">
        <x:v>Varun Demo</x:v>
      </x:c>
      <x:c r="F202" s="14" t="n">
        <x:v>1</x:v>
      </x:c>
      <x:c r="G202" s="12" t="str">
        <x:v>Buyer: Varun Demo</x:v>
      </x:c>
      <x:c r="H202" s="15"/>
      <x:c r="I202" s="16"/>
      <x:c r="J202" s="17"/>
      <x:c r="K202" s="17"/>
      <x:c r="L202" s="17"/>
      <x:c r="M202" s="17"/>
      <x:c r="N202" s="12" t="str">
        <x:v>BV07-01-sale-deed.pdf</x:v>
      </x:c>
      <x:c r="O202" s="12" t="str">
        <x:v>clear</x:v>
      </x:c>
    </x:row>
    <x:row r="203" ht="60" customHeight="1">
      <x:c r="A203" s="12" t="str">
        <x:v>BV07</x:v>
      </x:c>
      <x:c r="B203" s="12" t="str">
        <x:v>BV07-D1</x:v>
      </x:c>
      <x:c r="C203" s="12" t="str">
        <x:v>district</x:v>
      </x:c>
      <x:c r="D203" s="12" t="str">
        <x:v>Extract</x:v>
      </x:c>
      <x:c r="E203" s="13" t="str">
        <x:v>Purnia</x:v>
      </x:c>
      <x:c r="F203" s="14" t="n">
        <x:v>1</x:v>
      </x:c>
      <x:c r="G203" s="12" t="str">
        <x:v>District: Purnia</x:v>
      </x:c>
      <x:c r="H203" s="15"/>
      <x:c r="I203" s="16"/>
      <x:c r="J203" s="17"/>
      <x:c r="K203" s="17"/>
      <x:c r="L203" s="17"/>
      <x:c r="M203" s="17"/>
      <x:c r="N203" s="12" t="str">
        <x:v>BV07-01-sale-deed.pdf</x:v>
      </x:c>
      <x:c r="O203" s="12" t="str">
        <x:v>clear</x:v>
      </x:c>
    </x:row>
    <x:row r="204" ht="60" customHeight="1">
      <x:c r="A204" s="12" t="str">
        <x:v>BV07</x:v>
      </x:c>
      <x:c r="B204" s="12" t="str">
        <x:v>BV07-D1</x:v>
      </x:c>
      <x:c r="C204" s="12" t="str">
        <x:v>circle</x:v>
      </x:c>
      <x:c r="D204" s="12" t="str">
        <x:v>Extract</x:v>
      </x:c>
      <x:c r="E204" s="13" t="str">
        <x:v>Purnia East</x:v>
      </x:c>
      <x:c r="F204" s="14" t="n">
        <x:v>1</x:v>
      </x:c>
      <x:c r="G204" s="12" t="str">
        <x:v>Anchal / circle: Purnia East</x:v>
      </x:c>
      <x:c r="H204" s="15"/>
      <x:c r="I204" s="16"/>
      <x:c r="J204" s="17"/>
      <x:c r="K204" s="17"/>
      <x:c r="L204" s="17"/>
      <x:c r="M204" s="17"/>
      <x:c r="N204" s="12" t="str">
        <x:v>BV07-01-sale-deed.pdf</x:v>
      </x:c>
      <x:c r="O204" s="12" t="str">
        <x:v>clear</x:v>
      </x:c>
    </x:row>
    <x:row r="205" ht="60" customHeight="1">
      <x:c r="A205" s="12" t="str">
        <x:v>BV07</x:v>
      </x:c>
      <x:c r="B205" s="12" t="str">
        <x:v>BV07-D1</x:v>
      </x:c>
      <x:c r="C205" s="12" t="str">
        <x:v>mauza</x:v>
      </x:c>
      <x:c r="D205" s="12" t="str">
        <x:v>Extract</x:v>
      </x:c>
      <x:c r="E205" s="13" t="str">
        <x:v>Aangan Demo Mauza</x:v>
      </x:c>
      <x:c r="F205" s="14" t="n">
        <x:v>1</x:v>
      </x:c>
      <x:c r="G205" s="12" t="str">
        <x:v>Mauza (fictional village): Aangan Demo Mauza</x:v>
      </x:c>
      <x:c r="H205" s="15"/>
      <x:c r="I205" s="16"/>
      <x:c r="J205" s="17"/>
      <x:c r="K205" s="17"/>
      <x:c r="L205" s="17"/>
      <x:c r="M205" s="17"/>
      <x:c r="N205" s="12" t="str">
        <x:v>BV07-01-sale-deed.pdf</x:v>
      </x:c>
      <x:c r="O205" s="12" t="str">
        <x:v>clear</x:v>
      </x:c>
    </x:row>
    <x:row r="206" ht="60" customHeight="1">
      <x:c r="A206" s="12" t="str">
        <x:v>BV07</x:v>
      </x:c>
      <x:c r="B206" s="12" t="str">
        <x:v>BV07-D1</x:v>
      </x:c>
      <x:c r="C206" s="12" t="str">
        <x:v>thana</x:v>
      </x:c>
      <x:c r="D206" s="12" t="str">
        <x:v>Omit</x:v>
      </x:c>
      <x:c r="E206" s="13"/>
      <x:c r="F206" s="14"/>
      <x:c r="G206" s="12"/>
      <x:c r="H206" s="15"/>
      <x:c r="I206" s="16"/>
      <x:c r="J206" s="17"/>
      <x:c r="K206" s="17"/>
      <x:c r="L206" s="17"/>
      <x:c r="M206" s="17"/>
      <x:c r="N206" s="12" t="str">
        <x:v>BV07-01-sale-deed.pdf</x:v>
      </x:c>
      <x:c r="O206" s="12" t="str">
        <x:v>Not stated in this file</x:v>
      </x:c>
    </x:row>
    <x:row r="207" ht="60" customHeight="1">
      <x:c r="A207" s="12" t="str">
        <x:v>BV07</x:v>
      </x:c>
      <x:c r="B207" s="12" t="str">
        <x:v>BV07-D1</x:v>
      </x:c>
      <x:c r="C207" s="12" t="str">
        <x:v>khata</x:v>
      </x:c>
      <x:c r="D207" s="12" t="str">
        <x:v>Extract</x:v>
      </x:c>
      <x:c r="E207" s="24" t="str">
        <x:v>0058</x:v>
      </x:c>
      <x:c r="F207" s="14" t="n">
        <x:v>1</x:v>
      </x:c>
      <x:c r="G207" s="12" t="str">
        <x:v>Khata: 0058</x:v>
      </x:c>
      <x:c r="H207" s="15"/>
      <x:c r="I207" s="16"/>
      <x:c r="J207" s="17"/>
      <x:c r="K207" s="17"/>
      <x:c r="L207" s="17"/>
      <x:c r="M207" s="17"/>
      <x:c r="N207" s="12" t="str">
        <x:v>BV07-01-sale-deed.pdf</x:v>
      </x:c>
      <x:c r="O207" s="12" t="str">
        <x:v>clear</x:v>
      </x:c>
    </x:row>
    <x:row r="208" ht="60" customHeight="1">
      <x:c r="A208" s="12" t="str">
        <x:v>BV07</x:v>
      </x:c>
      <x:c r="B208" s="12" t="str">
        <x:v>BV07-D1</x:v>
      </x:c>
      <x:c r="C208" s="12" t="str">
        <x:v>khesra</x:v>
      </x:c>
      <x:c r="D208" s="12" t="str">
        <x:v>Extract</x:v>
      </x:c>
      <x:c r="E208" s="24" t="str">
        <x:v>0236</x:v>
      </x:c>
      <x:c r="F208" s="14" t="n">
        <x:v>1</x:v>
      </x:c>
      <x:c r="G208" s="12" t="str">
        <x:v>Khesra: 0236</x:v>
      </x:c>
      <x:c r="H208" s="15"/>
      <x:c r="I208" s="16"/>
      <x:c r="J208" s="17"/>
      <x:c r="K208" s="17"/>
      <x:c r="L208" s="17"/>
      <x:c r="M208" s="17"/>
      <x:c r="N208" s="12" t="str">
        <x:v>BV07-01-sale-deed.pdf</x:v>
      </x:c>
      <x:c r="O208" s="12" t="str">
        <x:v>clear</x:v>
      </x:c>
    </x:row>
    <x:row r="209" ht="60" customHeight="1">
      <x:c r="A209" s="12" t="str">
        <x:v>BV07</x:v>
      </x:c>
      <x:c r="B209" s="12" t="str">
        <x:v>BV07-D1</x:v>
      </x:c>
      <x:c r="C209" s="12" t="str">
        <x:v>jamabandi</x:v>
      </x:c>
      <x:c r="D209" s="12" t="str">
        <x:v>Omit</x:v>
      </x:c>
      <x:c r="E209" s="13"/>
      <x:c r="F209" s="14"/>
      <x:c r="G209" s="12"/>
      <x:c r="H209" s="15"/>
      <x:c r="I209" s="16"/>
      <x:c r="J209" s="17"/>
      <x:c r="K209" s="17"/>
      <x:c r="L209" s="17"/>
      <x:c r="M209" s="17"/>
      <x:c r="N209" s="12" t="str">
        <x:v>BV07-01-sale-deed.pdf</x:v>
      </x:c>
      <x:c r="O209" s="12" t="str">
        <x:v>Not stated in this file</x:v>
      </x:c>
    </x:row>
    <x:row r="210" ht="60" customHeight="1">
      <x:c r="A210" s="12" t="str">
        <x:v>BV07</x:v>
      </x:c>
      <x:c r="B210" s="12" t="str">
        <x:v>BV07-D1</x:v>
      </x:c>
      <x:c r="C210" s="12" t="str">
        <x:v>area</x:v>
      </x:c>
      <x:c r="D210" s="12" t="str">
        <x:v>Extract</x:v>
      </x:c>
      <x:c r="E210" s="13" t="str">
        <x:v>11</x:v>
      </x:c>
      <x:c r="F210" s="14" t="n">
        <x:v>1</x:v>
      </x:c>
      <x:c r="G210" s="12" t="str">
        <x:v>Area: 11</x:v>
      </x:c>
      <x:c r="H210" s="15"/>
      <x:c r="I210" s="16"/>
      <x:c r="J210" s="17"/>
      <x:c r="K210" s="17"/>
      <x:c r="L210" s="17"/>
      <x:c r="M210" s="17"/>
      <x:c r="N210" s="12" t="str">
        <x:v>BV07-01-sale-deed.pdf</x:v>
      </x:c>
      <x:c r="O210" s="12" t="str">
        <x:v>clear</x:v>
      </x:c>
    </x:row>
    <x:row r="211" ht="60" customHeight="1">
      <x:c r="A211" s="12" t="str">
        <x:v>BV07</x:v>
      </x:c>
      <x:c r="B211" s="12" t="str">
        <x:v>BV07-D1</x:v>
      </x:c>
      <x:c r="C211" s="12" t="str">
        <x:v>areaUnit</x:v>
      </x:c>
      <x:c r="D211" s="12" t="str">
        <x:v>Omit</x:v>
      </x:c>
      <x:c r="E211" s="13"/>
      <x:c r="F211" s="14"/>
      <x:c r="G211" s="12"/>
      <x:c r="H211" s="15"/>
      <x:c r="I211" s="16"/>
      <x:c r="J211" s="17"/>
      <x:c r="K211" s="17"/>
      <x:c r="L211" s="17"/>
      <x:c r="M211" s="17"/>
      <x:c r="N211" s="12" t="str">
        <x:v>BV07-01-sale-deed.pdf</x:v>
      </x:c>
      <x:c r="O211" s="12" t="str">
        <x:v>Not stated in this file</x:v>
      </x:c>
    </x:row>
    <x:row r="212" ht="60" customHeight="1">
      <x:c r="A212" s="12" t="str">
        <x:v>BV07</x:v>
      </x:c>
      <x:c r="B212" s="12" t="str">
        <x:v>BV07-D1</x:v>
      </x:c>
      <x:c r="C212" s="12" t="str">
        <x:v>date</x:v>
      </x:c>
      <x:c r="D212" s="12" t="str">
        <x:v>Extract</x:v>
      </x:c>
      <x:c r="E212" s="13" t="str">
        <x:v>2024-07-11</x:v>
      </x:c>
      <x:c r="F212" s="14" t="n">
        <x:v>1</x:v>
      </x:c>
      <x:c r="G212" s="12" t="str">
        <x:v>Document date: 2024-07-11</x:v>
      </x:c>
      <x:c r="H212" s="15"/>
      <x:c r="I212" s="16"/>
      <x:c r="J212" s="17"/>
      <x:c r="K212" s="17"/>
      <x:c r="L212" s="17"/>
      <x:c r="M212" s="17"/>
      <x:c r="N212" s="12" t="str">
        <x:v>BV07-01-sale-deed.pdf</x:v>
      </x:c>
      <x:c r="O212" s="12" t="str">
        <x:v>clear</x:v>
      </x:c>
    </x:row>
    <x:row r="213" ht="60" customHeight="1">
      <x:c r="A213" s="12" t="str">
        <x:v>BV07</x:v>
      </x:c>
      <x:c r="B213" s="12" t="str">
        <x:v>BV07-D1</x:v>
      </x:c>
      <x:c r="C213" s="12" t="str">
        <x:v>mutationStatus</x:v>
      </x:c>
      <x:c r="D213" s="12" t="str">
        <x:v>Omit</x:v>
      </x:c>
      <x:c r="E213" s="13"/>
      <x:c r="F213" s="14"/>
      <x:c r="G213" s="12"/>
      <x:c r="H213" s="15"/>
      <x:c r="I213" s="16"/>
      <x:c r="J213" s="17"/>
      <x:c r="K213" s="17"/>
      <x:c r="L213" s="17"/>
      <x:c r="M213" s="17"/>
      <x:c r="N213" s="12" t="str">
        <x:v>BV07-01-sale-deed.pdf</x:v>
      </x:c>
      <x:c r="O213" s="12" t="str">
        <x:v>Not stated in this file</x:v>
      </x:c>
    </x:row>
    <x:row r="214" ht="60" customHeight="1">
      <x:c r="A214" s="12" t="str">
        <x:v>BV07</x:v>
      </x:c>
      <x:c r="B214" s="12" t="str">
        <x:v>BV07-D1</x:v>
      </x:c>
      <x:c r="C214" s="12" t="str">
        <x:v>mortgage</x:v>
      </x:c>
      <x:c r="D214" s="12" t="str">
        <x:v>Omit</x:v>
      </x:c>
      <x:c r="E214" s="13"/>
      <x:c r="F214" s="14"/>
      <x:c r="G214" s="12"/>
      <x:c r="H214" s="15"/>
      <x:c r="I214" s="16"/>
      <x:c r="J214" s="17"/>
      <x:c r="K214" s="17"/>
      <x:c r="L214" s="17"/>
      <x:c r="M214" s="17"/>
      <x:c r="N214" s="12" t="str">
        <x:v>BV07-01-sale-deed.pdf</x:v>
      </x:c>
      <x:c r="O214" s="12" t="str">
        <x:v>Not stated in this file</x:v>
      </x:c>
    </x:row>
    <x:row r="215" ht="60" customHeight="1">
      <x:c r="A215" s="12" t="str">
        <x:v>BV07</x:v>
      </x:c>
      <x:c r="B215" s="12" t="str">
        <x:v>BV07-D1</x:v>
      </x:c>
      <x:c r="C215" s="12" t="str">
        <x:v>boundaries</x:v>
      </x:c>
      <x:c r="D215" s="12" t="str">
        <x:v>Omit</x:v>
      </x:c>
      <x:c r="E215" s="13"/>
      <x:c r="F215" s="14"/>
      <x:c r="G215" s="12"/>
      <x:c r="H215" s="15"/>
      <x:c r="I215" s="16"/>
      <x:c r="J215" s="17"/>
      <x:c r="K215" s="17"/>
      <x:c r="L215" s="17"/>
      <x:c r="M215" s="17"/>
      <x:c r="N215" s="12" t="str">
        <x:v>BV07-01-sale-deed.pdf</x:v>
      </x:c>
      <x:c r="O215" s="12" t="str">
        <x:v>Not stated in this file</x:v>
      </x:c>
    </x:row>
    <x:row r="216" ht="60" customHeight="1">
      <x:c r="A216" s="18" t="str">
        <x:v>BV07</x:v>
      </x:c>
      <x:c r="B216" s="18" t="str">
        <x:v>BV07-D2</x:v>
      </x:c>
      <x:c r="C216" s="18" t="str">
        <x:v>owner</x:v>
      </x:c>
      <x:c r="D216" s="18" t="str">
        <x:v>Extract</x:v>
      </x:c>
      <x:c r="E216" s="19" t="str">
        <x:v>Varun Demo</x:v>
      </x:c>
      <x:c r="F216" s="20" t="n">
        <x:v>1</x:v>
      </x:c>
      <x:c r="G216" s="18" t="str">
        <x:v>Recorded owner: Varun Demo</x:v>
      </x:c>
      <x:c r="H216" s="21"/>
      <x:c r="I216" s="22"/>
      <x:c r="J216" s="23"/>
      <x:c r="K216" s="23"/>
      <x:c r="L216" s="23"/>
      <x:c r="M216" s="23"/>
      <x:c r="N216" s="18" t="str">
        <x:v>BV07-02-jamabandi.pdf</x:v>
      </x:c>
      <x:c r="O216" s="18" t="str">
        <x:v>clear</x:v>
      </x:c>
    </x:row>
    <x:row r="217" ht="60" customHeight="1">
      <x:c r="A217" s="12" t="str">
        <x:v>BV07</x:v>
      </x:c>
      <x:c r="B217" s="12" t="str">
        <x:v>BV07-D2</x:v>
      </x:c>
      <x:c r="C217" s="12" t="str">
        <x:v>seller</x:v>
      </x:c>
      <x:c r="D217" s="12" t="str">
        <x:v>Omit</x:v>
      </x:c>
      <x:c r="E217" s="13"/>
      <x:c r="F217" s="14"/>
      <x:c r="G217" s="12"/>
      <x:c r="H217" s="15"/>
      <x:c r="I217" s="16"/>
      <x:c r="J217" s="17"/>
      <x:c r="K217" s="17"/>
      <x:c r="L217" s="17"/>
      <x:c r="M217" s="17"/>
      <x:c r="N217" s="12" t="str">
        <x:v>BV07-02-jamabandi.pdf</x:v>
      </x:c>
      <x:c r="O217" s="12" t="str">
        <x:v>Not stated in this file</x:v>
      </x:c>
    </x:row>
    <x:row r="218" ht="60" customHeight="1">
      <x:c r="A218" s="12" t="str">
        <x:v>BV07</x:v>
      </x:c>
      <x:c r="B218" s="12" t="str">
        <x:v>BV07-D2</x:v>
      </x:c>
      <x:c r="C218" s="12" t="str">
        <x:v>buyer</x:v>
      </x:c>
      <x:c r="D218" s="12" t="str">
        <x:v>Omit</x:v>
      </x:c>
      <x:c r="E218" s="13"/>
      <x:c r="F218" s="14"/>
      <x:c r="G218" s="12"/>
      <x:c r="H218" s="15"/>
      <x:c r="I218" s="16"/>
      <x:c r="J218" s="17"/>
      <x:c r="K218" s="17"/>
      <x:c r="L218" s="17"/>
      <x:c r="M218" s="17"/>
      <x:c r="N218" s="12" t="str">
        <x:v>BV07-02-jamabandi.pdf</x:v>
      </x:c>
      <x:c r="O218" s="12" t="str">
        <x:v>Not stated in this file</x:v>
      </x:c>
    </x:row>
    <x:row r="219" ht="60" customHeight="1">
      <x:c r="A219" s="12" t="str">
        <x:v>BV07</x:v>
      </x:c>
      <x:c r="B219" s="12" t="str">
        <x:v>BV07-D2</x:v>
      </x:c>
      <x:c r="C219" s="12" t="str">
        <x:v>district</x:v>
      </x:c>
      <x:c r="D219" s="12" t="str">
        <x:v>Extract</x:v>
      </x:c>
      <x:c r="E219" s="13" t="str">
        <x:v>Purnia</x:v>
      </x:c>
      <x:c r="F219" s="14" t="n">
        <x:v>1</x:v>
      </x:c>
      <x:c r="G219" s="12" t="str">
        <x:v>District: Purnia</x:v>
      </x:c>
      <x:c r="H219" s="15"/>
      <x:c r="I219" s="16"/>
      <x:c r="J219" s="17"/>
      <x:c r="K219" s="17"/>
      <x:c r="L219" s="17"/>
      <x:c r="M219" s="17"/>
      <x:c r="N219" s="12" t="str">
        <x:v>BV07-02-jamabandi.pdf</x:v>
      </x:c>
      <x:c r="O219" s="12" t="str">
        <x:v>clear</x:v>
      </x:c>
    </x:row>
    <x:row r="220" ht="60" customHeight="1">
      <x:c r="A220" s="12" t="str">
        <x:v>BV07</x:v>
      </x:c>
      <x:c r="B220" s="12" t="str">
        <x:v>BV07-D2</x:v>
      </x:c>
      <x:c r="C220" s="12" t="str">
        <x:v>circle</x:v>
      </x:c>
      <x:c r="D220" s="12" t="str">
        <x:v>Extract</x:v>
      </x:c>
      <x:c r="E220" s="13" t="str">
        <x:v>Purnia East</x:v>
      </x:c>
      <x:c r="F220" s="14" t="n">
        <x:v>1</x:v>
      </x:c>
      <x:c r="G220" s="12" t="str">
        <x:v>Anchal / circle: Purnia East</x:v>
      </x:c>
      <x:c r="H220" s="15"/>
      <x:c r="I220" s="16"/>
      <x:c r="J220" s="17"/>
      <x:c r="K220" s="17"/>
      <x:c r="L220" s="17"/>
      <x:c r="M220" s="17"/>
      <x:c r="N220" s="12" t="str">
        <x:v>BV07-02-jamabandi.pdf</x:v>
      </x:c>
      <x:c r="O220" s="12" t="str">
        <x:v>clear</x:v>
      </x:c>
    </x:row>
    <x:row r="221" ht="60" customHeight="1">
      <x:c r="A221" s="12" t="str">
        <x:v>BV07</x:v>
      </x:c>
      <x:c r="B221" s="12" t="str">
        <x:v>BV07-D2</x:v>
      </x:c>
      <x:c r="C221" s="12" t="str">
        <x:v>mauza</x:v>
      </x:c>
      <x:c r="D221" s="12" t="str">
        <x:v>Extract</x:v>
      </x:c>
      <x:c r="E221" s="13" t="str">
        <x:v>Aangan Demo Mauza</x:v>
      </x:c>
      <x:c r="F221" s="14" t="n">
        <x:v>1</x:v>
      </x:c>
      <x:c r="G221" s="12" t="str">
        <x:v>Mauza (fictional village): Aangan Demo Mauza</x:v>
      </x:c>
      <x:c r="H221" s="15"/>
      <x:c r="I221" s="16"/>
      <x:c r="J221" s="17"/>
      <x:c r="K221" s="17"/>
      <x:c r="L221" s="17"/>
      <x:c r="M221" s="17"/>
      <x:c r="N221" s="12" t="str">
        <x:v>BV07-02-jamabandi.pdf</x:v>
      </x:c>
      <x:c r="O221" s="12" t="str">
        <x:v>clear</x:v>
      </x:c>
    </x:row>
    <x:row r="222" ht="60" customHeight="1">
      <x:c r="A222" s="12" t="str">
        <x:v>BV07</x:v>
      </x:c>
      <x:c r="B222" s="12" t="str">
        <x:v>BV07-D2</x:v>
      </x:c>
      <x:c r="C222" s="12" t="str">
        <x:v>thana</x:v>
      </x:c>
      <x:c r="D222" s="12" t="str">
        <x:v>Omit</x:v>
      </x:c>
      <x:c r="E222" s="13"/>
      <x:c r="F222" s="14"/>
      <x:c r="G222" s="12"/>
      <x:c r="H222" s="15"/>
      <x:c r="I222" s="16"/>
      <x:c r="J222" s="17"/>
      <x:c r="K222" s="17"/>
      <x:c r="L222" s="17"/>
      <x:c r="M222" s="17"/>
      <x:c r="N222" s="12" t="str">
        <x:v>BV07-02-jamabandi.pdf</x:v>
      </x:c>
      <x:c r="O222" s="12" t="str">
        <x:v>Not stated in this file</x:v>
      </x:c>
    </x:row>
    <x:row r="223" ht="60" customHeight="1">
      <x:c r="A223" s="12" t="str">
        <x:v>BV07</x:v>
      </x:c>
      <x:c r="B223" s="12" t="str">
        <x:v>BV07-D2</x:v>
      </x:c>
      <x:c r="C223" s="12" t="str">
        <x:v>khata</x:v>
      </x:c>
      <x:c r="D223" s="12" t="str">
        <x:v>Extract</x:v>
      </x:c>
      <x:c r="E223" s="24" t="str">
        <x:v>0058</x:v>
      </x:c>
      <x:c r="F223" s="14" t="n">
        <x:v>1</x:v>
      </x:c>
      <x:c r="G223" s="12" t="str">
        <x:v>Khata: 0058</x:v>
      </x:c>
      <x:c r="H223" s="15"/>
      <x:c r="I223" s="16"/>
      <x:c r="J223" s="17"/>
      <x:c r="K223" s="17"/>
      <x:c r="L223" s="17"/>
      <x:c r="M223" s="17"/>
      <x:c r="N223" s="12" t="str">
        <x:v>BV07-02-jamabandi.pdf</x:v>
      </x:c>
      <x:c r="O223" s="12" t="str">
        <x:v>clear</x:v>
      </x:c>
    </x:row>
    <x:row r="224" ht="60" customHeight="1">
      <x:c r="A224" s="12" t="str">
        <x:v>BV07</x:v>
      </x:c>
      <x:c r="B224" s="12" t="str">
        <x:v>BV07-D2</x:v>
      </x:c>
      <x:c r="C224" s="12" t="str">
        <x:v>khesra</x:v>
      </x:c>
      <x:c r="D224" s="12" t="str">
        <x:v>Extract</x:v>
      </x:c>
      <x:c r="E224" s="24" t="str">
        <x:v>0236</x:v>
      </x:c>
      <x:c r="F224" s="14" t="n">
        <x:v>1</x:v>
      </x:c>
      <x:c r="G224" s="12" t="str">
        <x:v>Khesra: 0236</x:v>
      </x:c>
      <x:c r="H224" s="15"/>
      <x:c r="I224" s="16"/>
      <x:c r="J224" s="17"/>
      <x:c r="K224" s="17"/>
      <x:c r="L224" s="17"/>
      <x:c r="M224" s="17"/>
      <x:c r="N224" s="12" t="str">
        <x:v>BV07-02-jamabandi.pdf</x:v>
      </x:c>
      <x:c r="O224" s="12" t="str">
        <x:v>clear</x:v>
      </x:c>
    </x:row>
    <x:row r="225" ht="60" customHeight="1">
      <x:c r="A225" s="12" t="str">
        <x:v>BV07</x:v>
      </x:c>
      <x:c r="B225" s="12" t="str">
        <x:v>BV07-D2</x:v>
      </x:c>
      <x:c r="C225" s="12" t="str">
        <x:v>jamabandi</x:v>
      </x:c>
      <x:c r="D225" s="12" t="str">
        <x:v>Extract</x:v>
      </x:c>
      <x:c r="E225" s="13" t="str">
        <x:v>DEMO-JB-707</x:v>
      </x:c>
      <x:c r="F225" s="14" t="n">
        <x:v>1</x:v>
      </x:c>
      <x:c r="G225" s="12" t="str">
        <x:v>Jamabandi reference: DEMO-JB-707</x:v>
      </x:c>
      <x:c r="H225" s="15"/>
      <x:c r="I225" s="16"/>
      <x:c r="J225" s="17"/>
      <x:c r="K225" s="17"/>
      <x:c r="L225" s="17"/>
      <x:c r="M225" s="17"/>
      <x:c r="N225" s="12" t="str">
        <x:v>BV07-02-jamabandi.pdf</x:v>
      </x:c>
      <x:c r="O225" s="12" t="str">
        <x:v>clear</x:v>
      </x:c>
    </x:row>
    <x:row r="226" ht="60" customHeight="1">
      <x:c r="A226" s="12" t="str">
        <x:v>BV07</x:v>
      </x:c>
      <x:c r="B226" s="12" t="str">
        <x:v>BV07-D2</x:v>
      </x:c>
      <x:c r="C226" s="12" t="str">
        <x:v>area</x:v>
      </x:c>
      <x:c r="D226" s="12" t="str">
        <x:v>Extract</x:v>
      </x:c>
      <x:c r="E226" s="13" t="str">
        <x:v>11</x:v>
      </x:c>
      <x:c r="F226" s="14" t="n">
        <x:v>1</x:v>
      </x:c>
      <x:c r="G226" s="12" t="str">
        <x:v>Area: 11</x:v>
      </x:c>
      <x:c r="H226" s="15"/>
      <x:c r="I226" s="16"/>
      <x:c r="J226" s="17"/>
      <x:c r="K226" s="17"/>
      <x:c r="L226" s="17"/>
      <x:c r="M226" s="17"/>
      <x:c r="N226" s="12" t="str">
        <x:v>BV07-02-jamabandi.pdf</x:v>
      </x:c>
      <x:c r="O226" s="12" t="str">
        <x:v>clear</x:v>
      </x:c>
    </x:row>
    <x:row r="227" ht="60" customHeight="1">
      <x:c r="A227" s="12" t="str">
        <x:v>BV07</x:v>
      </x:c>
      <x:c r="B227" s="12" t="str">
        <x:v>BV07-D2</x:v>
      </x:c>
      <x:c r="C227" s="12" t="str">
        <x:v>areaUnit</x:v>
      </x:c>
      <x:c r="D227" s="12" t="str">
        <x:v>Extract</x:v>
      </x:c>
      <x:c r="E227" s="13" t="str">
        <x:v>decimal</x:v>
      </x:c>
      <x:c r="F227" s="14" t="n">
        <x:v>1</x:v>
      </x:c>
      <x:c r="G227" s="12" t="str">
        <x:v>Area unit: decimal</x:v>
      </x:c>
      <x:c r="H227" s="15"/>
      <x:c r="I227" s="16"/>
      <x:c r="J227" s="17"/>
      <x:c r="K227" s="17"/>
      <x:c r="L227" s="17"/>
      <x:c r="M227" s="17"/>
      <x:c r="N227" s="12" t="str">
        <x:v>BV07-02-jamabandi.pdf</x:v>
      </x:c>
      <x:c r="O227" s="12" t="str">
        <x:v>clear</x:v>
      </x:c>
    </x:row>
    <x:row r="228" ht="60" customHeight="1">
      <x:c r="A228" s="12" t="str">
        <x:v>BV07</x:v>
      </x:c>
      <x:c r="B228" s="12" t="str">
        <x:v>BV07-D2</x:v>
      </x:c>
      <x:c r="C228" s="12" t="str">
        <x:v>date</x:v>
      </x:c>
      <x:c r="D228" s="12" t="str">
        <x:v>Extract</x:v>
      </x:c>
      <x:c r="E228" s="13" t="str">
        <x:v>2024-12-04</x:v>
      </x:c>
      <x:c r="F228" s="14" t="n">
        <x:v>1</x:v>
      </x:c>
      <x:c r="G228" s="12" t="str">
        <x:v>Document date: 2024-12-04</x:v>
      </x:c>
      <x:c r="H228" s="15"/>
      <x:c r="I228" s="16"/>
      <x:c r="J228" s="17"/>
      <x:c r="K228" s="17"/>
      <x:c r="L228" s="17"/>
      <x:c r="M228" s="17"/>
      <x:c r="N228" s="12" t="str">
        <x:v>BV07-02-jamabandi.pdf</x:v>
      </x:c>
      <x:c r="O228" s="12" t="str">
        <x:v>clear</x:v>
      </x:c>
    </x:row>
    <x:row r="229" ht="60" customHeight="1">
      <x:c r="A229" s="12" t="str">
        <x:v>BV07</x:v>
      </x:c>
      <x:c r="B229" s="12" t="str">
        <x:v>BV07-D2</x:v>
      </x:c>
      <x:c r="C229" s="12" t="str">
        <x:v>mutationStatus</x:v>
      </x:c>
      <x:c r="D229" s="12" t="str">
        <x:v>Omit</x:v>
      </x:c>
      <x:c r="E229" s="13"/>
      <x:c r="F229" s="14"/>
      <x:c r="G229" s="12"/>
      <x:c r="H229" s="15"/>
      <x:c r="I229" s="16"/>
      <x:c r="J229" s="17"/>
      <x:c r="K229" s="17"/>
      <x:c r="L229" s="17"/>
      <x:c r="M229" s="17"/>
      <x:c r="N229" s="12" t="str">
        <x:v>BV07-02-jamabandi.pdf</x:v>
      </x:c>
      <x:c r="O229" s="12" t="str">
        <x:v>Not stated in this file</x:v>
      </x:c>
    </x:row>
    <x:row r="230" ht="60" customHeight="1">
      <x:c r="A230" s="12" t="str">
        <x:v>BV07</x:v>
      </x:c>
      <x:c r="B230" s="12" t="str">
        <x:v>BV07-D2</x:v>
      </x:c>
      <x:c r="C230" s="12" t="str">
        <x:v>mortgage</x:v>
      </x:c>
      <x:c r="D230" s="12" t="str">
        <x:v>Omit</x:v>
      </x:c>
      <x:c r="E230" s="13"/>
      <x:c r="F230" s="14"/>
      <x:c r="G230" s="12"/>
      <x:c r="H230" s="15"/>
      <x:c r="I230" s="16"/>
      <x:c r="J230" s="17"/>
      <x:c r="K230" s="17"/>
      <x:c r="L230" s="17"/>
      <x:c r="M230" s="17"/>
      <x:c r="N230" s="12" t="str">
        <x:v>BV07-02-jamabandi.pdf</x:v>
      </x:c>
      <x:c r="O230" s="12" t="str">
        <x:v>Not stated in this file</x:v>
      </x:c>
    </x:row>
    <x:row r="231" ht="60" customHeight="1">
      <x:c r="A231" s="12" t="str">
        <x:v>BV07</x:v>
      </x:c>
      <x:c r="B231" s="12" t="str">
        <x:v>BV07-D2</x:v>
      </x:c>
      <x:c r="C231" s="12" t="str">
        <x:v>boundaries</x:v>
      </x:c>
      <x:c r="D231" s="12" t="str">
        <x:v>Omit</x:v>
      </x:c>
      <x:c r="E231" s="13"/>
      <x:c r="F231" s="14"/>
      <x:c r="G231" s="12"/>
      <x:c r="H231" s="15"/>
      <x:c r="I231" s="16"/>
      <x:c r="J231" s="17"/>
      <x:c r="K231" s="17"/>
      <x:c r="L231" s="17"/>
      <x:c r="M231" s="17"/>
      <x:c r="N231" s="12" t="str">
        <x:v>BV07-02-jamabandi.pdf</x:v>
      </x:c>
      <x:c r="O231" s="12" t="str">
        <x:v>Not stated in this file</x:v>
      </x:c>
    </x:row>
    <x:row r="232" ht="60" customHeight="1">
      <x:c r="A232" s="18" t="str">
        <x:v>BV08</x:v>
      </x:c>
      <x:c r="B232" s="18" t="str">
        <x:v>BV08-D1</x:v>
      </x:c>
      <x:c r="C232" s="18" t="str">
        <x:v>owner</x:v>
      </x:c>
      <x:c r="D232" s="18" t="str">
        <x:v>Omit</x:v>
      </x:c>
      <x:c r="E232" s="19"/>
      <x:c r="F232" s="20"/>
      <x:c r="G232" s="18"/>
      <x:c r="H232" s="21"/>
      <x:c r="I232" s="22"/>
      <x:c r="J232" s="23"/>
      <x:c r="K232" s="23"/>
      <x:c r="L232" s="23"/>
      <x:c r="M232" s="23"/>
      <x:c r="N232" s="18" t="str">
        <x:v>BV08-01-sale-deed.pdf</x:v>
      </x:c>
      <x:c r="O232" s="18" t="str">
        <x:v>Not stated in this file</x:v>
      </x:c>
    </x:row>
    <x:row r="233" ht="60" customHeight="1">
      <x:c r="A233" s="12" t="str">
        <x:v>BV08</x:v>
      </x:c>
      <x:c r="B233" s="12" t="str">
        <x:v>BV08-D1</x:v>
      </x:c>
      <x:c r="C233" s="12" t="str">
        <x:v>seller</x:v>
      </x:c>
      <x:c r="D233" s="12" t="str">
        <x:v>Extract</x:v>
      </x:c>
      <x:c r="E233" s="13" t="str">
        <x:v>Renu Demo</x:v>
      </x:c>
      <x:c r="F233" s="14" t="n">
        <x:v>1</x:v>
      </x:c>
      <x:c r="G233" s="12" t="str">
        <x:v>Seller: Renu Demo</x:v>
      </x:c>
      <x:c r="H233" s="15"/>
      <x:c r="I233" s="16"/>
      <x:c r="J233" s="17"/>
      <x:c r="K233" s="17"/>
      <x:c r="L233" s="17"/>
      <x:c r="M233" s="17"/>
      <x:c r="N233" s="12" t="str">
        <x:v>BV08-01-sale-deed.pdf</x:v>
      </x:c>
      <x:c r="O233" s="12" t="str">
        <x:v>clear</x:v>
      </x:c>
    </x:row>
    <x:row r="234" ht="60" customHeight="1">
      <x:c r="A234" s="12" t="str">
        <x:v>BV08</x:v>
      </x:c>
      <x:c r="B234" s="12" t="str">
        <x:v>BV08-D1</x:v>
      </x:c>
      <x:c r="C234" s="12" t="str">
        <x:v>buyer</x:v>
      </x:c>
      <x:c r="D234" s="12" t="str">
        <x:v>Omit</x:v>
      </x:c>
      <x:c r="E234" s="13"/>
      <x:c r="F234" s="14"/>
      <x:c r="G234" s="12"/>
      <x:c r="H234" s="15"/>
      <x:c r="I234" s="16"/>
      <x:c r="J234" s="17"/>
      <x:c r="K234" s="17"/>
      <x:c r="L234" s="17"/>
      <x:c r="M234" s="17"/>
      <x:c r="N234" s="12" t="str">
        <x:v>BV08-01-sale-deed.pdf</x:v>
      </x:c>
      <x:c r="O234" s="12" t="str">
        <x:v>Not stated in this file</x:v>
      </x:c>
    </x:row>
    <x:row r="235" ht="60" customHeight="1">
      <x:c r="A235" s="12" t="str">
        <x:v>BV08</x:v>
      </x:c>
      <x:c r="B235" s="12" t="str">
        <x:v>BV08-D1</x:v>
      </x:c>
      <x:c r="C235" s="12" t="str">
        <x:v>district</x:v>
      </x:c>
      <x:c r="D235" s="12" t="str">
        <x:v>Extract</x:v>
      </x:c>
      <x:c r="E235" s="13" t="str">
        <x:v>Begusarai</x:v>
      </x:c>
      <x:c r="F235" s="14" t="n">
        <x:v>1</x:v>
      </x:c>
      <x:c r="G235" s="12" t="str">
        <x:v>District: Begusarai</x:v>
      </x:c>
      <x:c r="H235" s="15"/>
      <x:c r="I235" s="16"/>
      <x:c r="J235" s="17"/>
      <x:c r="K235" s="17"/>
      <x:c r="L235" s="17"/>
      <x:c r="M235" s="17"/>
      <x:c r="N235" s="12" t="str">
        <x:v>BV08-01-sale-deed.pdf</x:v>
      </x:c>
      <x:c r="O235" s="12" t="str">
        <x:v>clear</x:v>
      </x:c>
    </x:row>
    <x:row r="236" ht="60" customHeight="1">
      <x:c r="A236" s="12" t="str">
        <x:v>BV08</x:v>
      </x:c>
      <x:c r="B236" s="12" t="str">
        <x:v>BV08-D1</x:v>
      </x:c>
      <x:c r="C236" s="12" t="str">
        <x:v>circle</x:v>
      </x:c>
      <x:c r="D236" s="12" t="str">
        <x:v>Extract</x:v>
      </x:c>
      <x:c r="E236" s="13" t="str">
        <x:v>Begusarai</x:v>
      </x:c>
      <x:c r="F236" s="14" t="n">
        <x:v>1</x:v>
      </x:c>
      <x:c r="G236" s="12" t="str">
        <x:v>Anchal / circle: Begusarai</x:v>
      </x:c>
      <x:c r="H236" s="15"/>
      <x:c r="I236" s="16"/>
      <x:c r="J236" s="17"/>
      <x:c r="K236" s="17"/>
      <x:c r="L236" s="17"/>
      <x:c r="M236" s="17"/>
      <x:c r="N236" s="12" t="str">
        <x:v>BV08-01-sale-deed.pdf</x:v>
      </x:c>
      <x:c r="O236" s="12" t="str">
        <x:v>clear</x:v>
      </x:c>
    </x:row>
    <x:row r="237" ht="60" customHeight="1">
      <x:c r="A237" s="12" t="str">
        <x:v>BV08</x:v>
      </x:c>
      <x:c r="B237" s="12" t="str">
        <x:v>BV08-D1</x:v>
      </x:c>
      <x:c r="C237" s="12" t="str">
        <x:v>mauza</x:v>
      </x:c>
      <x:c r="D237" s="12" t="str">
        <x:v>Extract</x:v>
      </x:c>
      <x:c r="E237" s="13" t="str">
        <x:v>Sankalp Demo Mauza</x:v>
      </x:c>
      <x:c r="F237" s="14" t="n">
        <x:v>1</x:v>
      </x:c>
      <x:c r="G237" s="12" t="str">
        <x:v>Mauza (fictional village): Sankalp Demo Mauza</x:v>
      </x:c>
      <x:c r="H237" s="15"/>
      <x:c r="I237" s="16"/>
      <x:c r="J237" s="17"/>
      <x:c r="K237" s="17"/>
      <x:c r="L237" s="17"/>
      <x:c r="M237" s="17"/>
      <x:c r="N237" s="12" t="str">
        <x:v>BV08-01-sale-deed.pdf</x:v>
      </x:c>
      <x:c r="O237" s="12" t="str">
        <x:v>clear</x:v>
      </x:c>
    </x:row>
    <x:row r="238" ht="60" customHeight="1">
      <x:c r="A238" s="12" t="str">
        <x:v>BV08</x:v>
      </x:c>
      <x:c r="B238" s="12" t="str">
        <x:v>BV08-D1</x:v>
      </x:c>
      <x:c r="C238" s="12" t="str">
        <x:v>thana</x:v>
      </x:c>
      <x:c r="D238" s="12" t="str">
        <x:v>Omit</x:v>
      </x:c>
      <x:c r="E238" s="13"/>
      <x:c r="F238" s="14"/>
      <x:c r="G238" s="12"/>
      <x:c r="H238" s="15"/>
      <x:c r="I238" s="16"/>
      <x:c r="J238" s="17"/>
      <x:c r="K238" s="17"/>
      <x:c r="L238" s="17"/>
      <x:c r="M238" s="17"/>
      <x:c r="N238" s="12" t="str">
        <x:v>BV08-01-sale-deed.pdf</x:v>
      </x:c>
      <x:c r="O238" s="12" t="str">
        <x:v>Not stated in this file</x:v>
      </x:c>
    </x:row>
    <x:row r="239" ht="60" customHeight="1">
      <x:c r="A239" s="12" t="str">
        <x:v>BV08</x:v>
      </x:c>
      <x:c r="B239" s="12" t="str">
        <x:v>BV08-D1</x:v>
      </x:c>
      <x:c r="C239" s="12" t="str">
        <x:v>khata</x:v>
      </x:c>
      <x:c r="D239" s="12" t="str">
        <x:v>Extract</x:v>
      </x:c>
      <x:c r="E239" s="24" t="str">
        <x:v>0074</x:v>
      </x:c>
      <x:c r="F239" s="14" t="n">
        <x:v>1</x:v>
      </x:c>
      <x:c r="G239" s="12" t="str">
        <x:v>Khata: 0074</x:v>
      </x:c>
      <x:c r="H239" s="15"/>
      <x:c r="I239" s="16"/>
      <x:c r="J239" s="17"/>
      <x:c r="K239" s="17"/>
      <x:c r="L239" s="17"/>
      <x:c r="M239" s="17"/>
      <x:c r="N239" s="12" t="str">
        <x:v>BV08-01-sale-deed.pdf</x:v>
      </x:c>
      <x:c r="O239" s="12" t="str">
        <x:v>clear</x:v>
      </x:c>
    </x:row>
    <x:row r="240" ht="60" customHeight="1">
      <x:c r="A240" s="12" t="str">
        <x:v>BV08</x:v>
      </x:c>
      <x:c r="B240" s="12" t="str">
        <x:v>BV08-D1</x:v>
      </x:c>
      <x:c r="C240" s="12" t="str">
        <x:v>khesra</x:v>
      </x:c>
      <x:c r="D240" s="12" t="str">
        <x:v>Extract</x:v>
      </x:c>
      <x:c r="E240" s="24" t="str">
        <x:v>0358</x:v>
      </x:c>
      <x:c r="F240" s="14" t="n">
        <x:v>1</x:v>
      </x:c>
      <x:c r="G240" s="12" t="str">
        <x:v>Khesra: 0358</x:v>
      </x:c>
      <x:c r="H240" s="15"/>
      <x:c r="I240" s="16"/>
      <x:c r="J240" s="17"/>
      <x:c r="K240" s="17"/>
      <x:c r="L240" s="17"/>
      <x:c r="M240" s="17"/>
      <x:c r="N240" s="12" t="str">
        <x:v>BV08-01-sale-deed.pdf</x:v>
      </x:c>
      <x:c r="O240" s="12" t="str">
        <x:v>clear</x:v>
      </x:c>
    </x:row>
    <x:row r="241" ht="60" customHeight="1">
      <x:c r="A241" s="12" t="str">
        <x:v>BV08</x:v>
      </x:c>
      <x:c r="B241" s="12" t="str">
        <x:v>BV08-D1</x:v>
      </x:c>
      <x:c r="C241" s="12" t="str">
        <x:v>jamabandi</x:v>
      </x:c>
      <x:c r="D241" s="12" t="str">
        <x:v>Omit</x:v>
      </x:c>
      <x:c r="E241" s="13"/>
      <x:c r="F241" s="14"/>
      <x:c r="G241" s="12"/>
      <x:c r="H241" s="15"/>
      <x:c r="I241" s="16"/>
      <x:c r="J241" s="17"/>
      <x:c r="K241" s="17"/>
      <x:c r="L241" s="17"/>
      <x:c r="M241" s="17"/>
      <x:c r="N241" s="12" t="str">
        <x:v>BV08-01-sale-deed.pdf</x:v>
      </x:c>
      <x:c r="O241" s="12" t="str">
        <x:v>Not stated in this file</x:v>
      </x:c>
    </x:row>
    <x:row r="242" ht="60" customHeight="1">
      <x:c r="A242" s="12" t="str">
        <x:v>BV08</x:v>
      </x:c>
      <x:c r="B242" s="12" t="str">
        <x:v>BV08-D1</x:v>
      </x:c>
      <x:c r="C242" s="12" t="str">
        <x:v>area</x:v>
      </x:c>
      <x:c r="D242" s="12" t="str">
        <x:v>Extract</x:v>
      </x:c>
      <x:c r="E242" s="13" t="str">
        <x:v>750</x:v>
      </x:c>
      <x:c r="F242" s="14" t="n">
        <x:v>1</x:v>
      </x:c>
      <x:c r="G242" s="12" t="str">
        <x:v>Area: 750</x:v>
      </x:c>
      <x:c r="H242" s="15"/>
      <x:c r="I242" s="16"/>
      <x:c r="J242" s="17"/>
      <x:c r="K242" s="17"/>
      <x:c r="L242" s="17"/>
      <x:c r="M242" s="17"/>
      <x:c r="N242" s="12" t="str">
        <x:v>BV08-01-sale-deed.pdf</x:v>
      </x:c>
      <x:c r="O242" s="12" t="str">
        <x:v>clear</x:v>
      </x:c>
    </x:row>
    <x:row r="243" ht="60" customHeight="1">
      <x:c r="A243" s="12" t="str">
        <x:v>BV08</x:v>
      </x:c>
      <x:c r="B243" s="12" t="str">
        <x:v>BV08-D1</x:v>
      </x:c>
      <x:c r="C243" s="12" t="str">
        <x:v>areaUnit</x:v>
      </x:c>
      <x:c r="D243" s="12" t="str">
        <x:v>Extract</x:v>
      </x:c>
      <x:c r="E243" s="13" t="str">
        <x:v>sq ft</x:v>
      </x:c>
      <x:c r="F243" s="14" t="n">
        <x:v>1</x:v>
      </x:c>
      <x:c r="G243" s="12" t="str">
        <x:v>Area unit: sq ft</x:v>
      </x:c>
      <x:c r="H243" s="15"/>
      <x:c r="I243" s="16"/>
      <x:c r="J243" s="17"/>
      <x:c r="K243" s="17"/>
      <x:c r="L243" s="17"/>
      <x:c r="M243" s="17"/>
      <x:c r="N243" s="12" t="str">
        <x:v>BV08-01-sale-deed.pdf</x:v>
      </x:c>
      <x:c r="O243" s="12" t="str">
        <x:v>clear</x:v>
      </x:c>
    </x:row>
    <x:row r="244" ht="60" customHeight="1">
      <x:c r="A244" s="12" t="str">
        <x:v>BV08</x:v>
      </x:c>
      <x:c r="B244" s="12" t="str">
        <x:v>BV08-D1</x:v>
      </x:c>
      <x:c r="C244" s="12" t="str">
        <x:v>date</x:v>
      </x:c>
      <x:c r="D244" s="12" t="str">
        <x:v>Extract</x:v>
      </x:c>
      <x:c r="E244" s="13" t="str">
        <x:v>2023-04-26</x:v>
      </x:c>
      <x:c r="F244" s="14" t="n">
        <x:v>1</x:v>
      </x:c>
      <x:c r="G244" s="12" t="str">
        <x:v>Document date: 2023-04-26</x:v>
      </x:c>
      <x:c r="H244" s="15"/>
      <x:c r="I244" s="16"/>
      <x:c r="J244" s="17"/>
      <x:c r="K244" s="17"/>
      <x:c r="L244" s="17"/>
      <x:c r="M244" s="17"/>
      <x:c r="N244" s="12" t="str">
        <x:v>BV08-01-sale-deed.pdf</x:v>
      </x:c>
      <x:c r="O244" s="12" t="str">
        <x:v>clear</x:v>
      </x:c>
    </x:row>
    <x:row r="245" ht="60" customHeight="1">
      <x:c r="A245" s="12" t="str">
        <x:v>BV08</x:v>
      </x:c>
      <x:c r="B245" s="12" t="str">
        <x:v>BV08-D1</x:v>
      </x:c>
      <x:c r="C245" s="12" t="str">
        <x:v>mutationStatus</x:v>
      </x:c>
      <x:c r="D245" s="12" t="str">
        <x:v>Omit</x:v>
      </x:c>
      <x:c r="E245" s="13"/>
      <x:c r="F245" s="14"/>
      <x:c r="G245" s="12"/>
      <x:c r="H245" s="15"/>
      <x:c r="I245" s="16"/>
      <x:c r="J245" s="17"/>
      <x:c r="K245" s="17"/>
      <x:c r="L245" s="17"/>
      <x:c r="M245" s="17"/>
      <x:c r="N245" s="12" t="str">
        <x:v>BV08-01-sale-deed.pdf</x:v>
      </x:c>
      <x:c r="O245" s="12" t="str">
        <x:v>Not stated in this file</x:v>
      </x:c>
    </x:row>
    <x:row r="246" ht="60" customHeight="1">
      <x:c r="A246" s="12" t="str">
        <x:v>BV08</x:v>
      </x:c>
      <x:c r="B246" s="12" t="str">
        <x:v>BV08-D1</x:v>
      </x:c>
      <x:c r="C246" s="12" t="str">
        <x:v>mortgage</x:v>
      </x:c>
      <x:c r="D246" s="12" t="str">
        <x:v>Omit</x:v>
      </x:c>
      <x:c r="E246" s="13"/>
      <x:c r="F246" s="14"/>
      <x:c r="G246" s="12"/>
      <x:c r="H246" s="15"/>
      <x:c r="I246" s="16"/>
      <x:c r="J246" s="17"/>
      <x:c r="K246" s="17"/>
      <x:c r="L246" s="17"/>
      <x:c r="M246" s="17"/>
      <x:c r="N246" s="12" t="str">
        <x:v>BV08-01-sale-deed.pdf</x:v>
      </x:c>
      <x:c r="O246" s="12" t="str">
        <x:v>Not stated in this file</x:v>
      </x:c>
    </x:row>
    <x:row r="247" ht="60" customHeight="1">
      <x:c r="A247" s="12" t="str">
        <x:v>BV08</x:v>
      </x:c>
      <x:c r="B247" s="12" t="str">
        <x:v>BV08-D1</x:v>
      </x:c>
      <x:c r="C247" s="12" t="str">
        <x:v>boundaries</x:v>
      </x:c>
      <x:c r="D247" s="12" t="str">
        <x:v>Omit</x:v>
      </x:c>
      <x:c r="E247" s="13"/>
      <x:c r="F247" s="14"/>
      <x:c r="G247" s="12"/>
      <x:c r="H247" s="15"/>
      <x:c r="I247" s="16"/>
      <x:c r="J247" s="17"/>
      <x:c r="K247" s="17"/>
      <x:c r="L247" s="17"/>
      <x:c r="M247" s="17"/>
      <x:c r="N247" s="12" t="str">
        <x:v>BV08-01-sale-deed.pdf</x:v>
      </x:c>
      <x:c r="O247" s="12" t="str">
        <x:v>Not stated in this file</x:v>
      </x:c>
    </x:row>
    <x:row r="248" ht="60" customHeight="1">
      <x:c r="A248" s="18" t="str">
        <x:v>BV08</x:v>
      </x:c>
      <x:c r="B248" s="18" t="str">
        <x:v>BV08-D2</x:v>
      </x:c>
      <x:c r="C248" s="18" t="str">
        <x:v>owner</x:v>
      </x:c>
      <x:c r="D248" s="18" t="str">
        <x:v>Omit</x:v>
      </x:c>
      <x:c r="E248" s="19"/>
      <x:c r="F248" s="20"/>
      <x:c r="G248" s="18"/>
      <x:c r="H248" s="21"/>
      <x:c r="I248" s="22"/>
      <x:c r="J248" s="23"/>
      <x:c r="K248" s="23"/>
      <x:c r="L248" s="23"/>
      <x:c r="M248" s="23"/>
      <x:c r="N248" s="18" t="str">
        <x:v>BV08-02-jamabandi.pdf</x:v>
      </x:c>
      <x:c r="O248" s="18" t="str">
        <x:v>Not stated in this file</x:v>
      </x:c>
    </x:row>
    <x:row r="249" ht="60" customHeight="1">
      <x:c r="A249" s="12" t="str">
        <x:v>BV08</x:v>
      </x:c>
      <x:c r="B249" s="12" t="str">
        <x:v>BV08-D2</x:v>
      </x:c>
      <x:c r="C249" s="12" t="str">
        <x:v>seller</x:v>
      </x:c>
      <x:c r="D249" s="12" t="str">
        <x:v>Omit</x:v>
      </x:c>
      <x:c r="E249" s="13"/>
      <x:c r="F249" s="14"/>
      <x:c r="G249" s="12"/>
      <x:c r="H249" s="15"/>
      <x:c r="I249" s="16"/>
      <x:c r="J249" s="17"/>
      <x:c r="K249" s="17"/>
      <x:c r="L249" s="17"/>
      <x:c r="M249" s="17"/>
      <x:c r="N249" s="12" t="str">
        <x:v>BV08-02-jamabandi.pdf</x:v>
      </x:c>
      <x:c r="O249" s="12" t="str">
        <x:v>Not stated in this file</x:v>
      </x:c>
    </x:row>
    <x:row r="250" ht="60" customHeight="1">
      <x:c r="A250" s="12" t="str">
        <x:v>BV08</x:v>
      </x:c>
      <x:c r="B250" s="12" t="str">
        <x:v>BV08-D2</x:v>
      </x:c>
      <x:c r="C250" s="12" t="str">
        <x:v>buyer</x:v>
      </x:c>
      <x:c r="D250" s="12" t="str">
        <x:v>Omit</x:v>
      </x:c>
      <x:c r="E250" s="13"/>
      <x:c r="F250" s="14"/>
      <x:c r="G250" s="12"/>
      <x:c r="H250" s="15"/>
      <x:c r="I250" s="16"/>
      <x:c r="J250" s="17"/>
      <x:c r="K250" s="17"/>
      <x:c r="L250" s="17"/>
      <x:c r="M250" s="17"/>
      <x:c r="N250" s="12" t="str">
        <x:v>BV08-02-jamabandi.pdf</x:v>
      </x:c>
      <x:c r="O250" s="12" t="str">
        <x:v>Not stated in this file</x:v>
      </x:c>
    </x:row>
    <x:row r="251" ht="60" customHeight="1">
      <x:c r="A251" s="12" t="str">
        <x:v>BV08</x:v>
      </x:c>
      <x:c r="B251" s="12" t="str">
        <x:v>BV08-D2</x:v>
      </x:c>
      <x:c r="C251" s="12" t="str">
        <x:v>district</x:v>
      </x:c>
      <x:c r="D251" s="12" t="str">
        <x:v>Extract</x:v>
      </x:c>
      <x:c r="E251" s="13" t="str">
        <x:v>Begusarai</x:v>
      </x:c>
      <x:c r="F251" s="14" t="n">
        <x:v>1</x:v>
      </x:c>
      <x:c r="G251" s="12" t="str">
        <x:v>District: Begusarai</x:v>
      </x:c>
      <x:c r="H251" s="15"/>
      <x:c r="I251" s="16"/>
      <x:c r="J251" s="17"/>
      <x:c r="K251" s="17"/>
      <x:c r="L251" s="17"/>
      <x:c r="M251" s="17"/>
      <x:c r="N251" s="12" t="str">
        <x:v>BV08-02-jamabandi.pdf</x:v>
      </x:c>
      <x:c r="O251" s="12" t="str">
        <x:v>clear</x:v>
      </x:c>
    </x:row>
    <x:row r="252" ht="60" customHeight="1">
      <x:c r="A252" s="12" t="str">
        <x:v>BV08</x:v>
      </x:c>
      <x:c r="B252" s="12" t="str">
        <x:v>BV08-D2</x:v>
      </x:c>
      <x:c r="C252" s="12" t="str">
        <x:v>circle</x:v>
      </x:c>
      <x:c r="D252" s="12" t="str">
        <x:v>Extract</x:v>
      </x:c>
      <x:c r="E252" s="13" t="str">
        <x:v>Begusarai</x:v>
      </x:c>
      <x:c r="F252" s="14" t="n">
        <x:v>1</x:v>
      </x:c>
      <x:c r="G252" s="12" t="str">
        <x:v>Anchal / circle: Begusarai</x:v>
      </x:c>
      <x:c r="H252" s="15"/>
      <x:c r="I252" s="16"/>
      <x:c r="J252" s="17"/>
      <x:c r="K252" s="17"/>
      <x:c r="L252" s="17"/>
      <x:c r="M252" s="17"/>
      <x:c r="N252" s="12" t="str">
        <x:v>BV08-02-jamabandi.pdf</x:v>
      </x:c>
      <x:c r="O252" s="12" t="str">
        <x:v>clear</x:v>
      </x:c>
    </x:row>
    <x:row r="253" ht="60" customHeight="1">
      <x:c r="A253" s="12" t="str">
        <x:v>BV08</x:v>
      </x:c>
      <x:c r="B253" s="12" t="str">
        <x:v>BV08-D2</x:v>
      </x:c>
      <x:c r="C253" s="12" t="str">
        <x:v>mauza</x:v>
      </x:c>
      <x:c r="D253" s="12" t="str">
        <x:v>Extract</x:v>
      </x:c>
      <x:c r="E253" s="13" t="str">
        <x:v>Sankalp Demo Mauza</x:v>
      </x:c>
      <x:c r="F253" s="14" t="n">
        <x:v>1</x:v>
      </x:c>
      <x:c r="G253" s="12" t="str">
        <x:v>Mauza (fictional village): Sankalp Demo Mauza</x:v>
      </x:c>
      <x:c r="H253" s="15"/>
      <x:c r="I253" s="16"/>
      <x:c r="J253" s="17"/>
      <x:c r="K253" s="17"/>
      <x:c r="L253" s="17"/>
      <x:c r="M253" s="17"/>
      <x:c r="N253" s="12" t="str">
        <x:v>BV08-02-jamabandi.pdf</x:v>
      </x:c>
      <x:c r="O253" s="12" t="str">
        <x:v>clear</x:v>
      </x:c>
    </x:row>
    <x:row r="254" ht="60" customHeight="1">
      <x:c r="A254" s="12" t="str">
        <x:v>BV08</x:v>
      </x:c>
      <x:c r="B254" s="12" t="str">
        <x:v>BV08-D2</x:v>
      </x:c>
      <x:c r="C254" s="12" t="str">
        <x:v>thana</x:v>
      </x:c>
      <x:c r="D254" s="12" t="str">
        <x:v>Omit</x:v>
      </x:c>
      <x:c r="E254" s="13"/>
      <x:c r="F254" s="14"/>
      <x:c r="G254" s="12"/>
      <x:c r="H254" s="15"/>
      <x:c r="I254" s="16"/>
      <x:c r="J254" s="17"/>
      <x:c r="K254" s="17"/>
      <x:c r="L254" s="17"/>
      <x:c r="M254" s="17"/>
      <x:c r="N254" s="12" t="str">
        <x:v>BV08-02-jamabandi.pdf</x:v>
      </x:c>
      <x:c r="O254" s="12" t="str">
        <x:v>Not stated in this file</x:v>
      </x:c>
    </x:row>
    <x:row r="255" ht="60" customHeight="1">
      <x:c r="A255" s="12" t="str">
        <x:v>BV08</x:v>
      </x:c>
      <x:c r="B255" s="12" t="str">
        <x:v>BV08-D2</x:v>
      </x:c>
      <x:c r="C255" s="12" t="str">
        <x:v>khata</x:v>
      </x:c>
      <x:c r="D255" s="12" t="str">
        <x:v>Extract</x:v>
      </x:c>
      <x:c r="E255" s="24" t="str">
        <x:v>0074</x:v>
      </x:c>
      <x:c r="F255" s="14" t="n">
        <x:v>1</x:v>
      </x:c>
      <x:c r="G255" s="12" t="str">
        <x:v>Khata: 0074</x:v>
      </x:c>
      <x:c r="H255" s="15"/>
      <x:c r="I255" s="16"/>
      <x:c r="J255" s="17"/>
      <x:c r="K255" s="17"/>
      <x:c r="L255" s="17"/>
      <x:c r="M255" s="17"/>
      <x:c r="N255" s="12" t="str">
        <x:v>BV08-02-jamabandi.pdf</x:v>
      </x:c>
      <x:c r="O255" s="12" t="str">
        <x:v>clear</x:v>
      </x:c>
    </x:row>
    <x:row r="256" ht="60" customHeight="1">
      <x:c r="A256" s="12" t="str">
        <x:v>BV08</x:v>
      </x:c>
      <x:c r="B256" s="12" t="str">
        <x:v>BV08-D2</x:v>
      </x:c>
      <x:c r="C256" s="12" t="str">
        <x:v>khesra</x:v>
      </x:c>
      <x:c r="D256" s="12" t="str">
        <x:v>Extract</x:v>
      </x:c>
      <x:c r="E256" s="24" t="str">
        <x:v>0358</x:v>
      </x:c>
      <x:c r="F256" s="14" t="n">
        <x:v>1</x:v>
      </x:c>
      <x:c r="G256" s="12" t="str">
        <x:v>Khesra: 0358</x:v>
      </x:c>
      <x:c r="H256" s="15"/>
      <x:c r="I256" s="16"/>
      <x:c r="J256" s="17"/>
      <x:c r="K256" s="17"/>
      <x:c r="L256" s="17"/>
      <x:c r="M256" s="17"/>
      <x:c r="N256" s="12" t="str">
        <x:v>BV08-02-jamabandi.pdf</x:v>
      </x:c>
      <x:c r="O256" s="12" t="str">
        <x:v>clear</x:v>
      </x:c>
    </x:row>
    <x:row r="257" ht="60" customHeight="1">
      <x:c r="A257" s="12" t="str">
        <x:v>BV08</x:v>
      </x:c>
      <x:c r="B257" s="12" t="str">
        <x:v>BV08-D2</x:v>
      </x:c>
      <x:c r="C257" s="12" t="str">
        <x:v>jamabandi</x:v>
      </x:c>
      <x:c r="D257" s="12" t="str">
        <x:v>Extract</x:v>
      </x:c>
      <x:c r="E257" s="13" t="str">
        <x:v>DEMO-JB-808</x:v>
      </x:c>
      <x:c r="F257" s="14" t="n">
        <x:v>1</x:v>
      </x:c>
      <x:c r="G257" s="12" t="str">
        <x:v>Jamabandi reference: DEMO-JB-808</x:v>
      </x:c>
      <x:c r="H257" s="15"/>
      <x:c r="I257" s="16"/>
      <x:c r="J257" s="17"/>
      <x:c r="K257" s="17"/>
      <x:c r="L257" s="17"/>
      <x:c r="M257" s="17"/>
      <x:c r="N257" s="12" t="str">
        <x:v>BV08-02-jamabandi.pdf</x:v>
      </x:c>
      <x:c r="O257" s="12" t="str">
        <x:v>clear</x:v>
      </x:c>
    </x:row>
    <x:row r="258" ht="60" customHeight="1">
      <x:c r="A258" s="12" t="str">
        <x:v>BV08</x:v>
      </x:c>
      <x:c r="B258" s="12" t="str">
        <x:v>BV08-D2</x:v>
      </x:c>
      <x:c r="C258" s="12" t="str">
        <x:v>area</x:v>
      </x:c>
      <x:c r="D258" s="12" t="str">
        <x:v>Extract</x:v>
      </x:c>
      <x:c r="E258" s="13" t="str">
        <x:v>750</x:v>
      </x:c>
      <x:c r="F258" s="14" t="n">
        <x:v>1</x:v>
      </x:c>
      <x:c r="G258" s="12" t="str">
        <x:v>Area: 750</x:v>
      </x:c>
      <x:c r="H258" s="15"/>
      <x:c r="I258" s="16"/>
      <x:c r="J258" s="17"/>
      <x:c r="K258" s="17"/>
      <x:c r="L258" s="17"/>
      <x:c r="M258" s="17"/>
      <x:c r="N258" s="12" t="str">
        <x:v>BV08-02-jamabandi.pdf</x:v>
      </x:c>
      <x:c r="O258" s="12" t="str">
        <x:v>clear</x:v>
      </x:c>
    </x:row>
    <x:row r="259" ht="60" customHeight="1">
      <x:c r="A259" s="12" t="str">
        <x:v>BV08</x:v>
      </x:c>
      <x:c r="B259" s="12" t="str">
        <x:v>BV08-D2</x:v>
      </x:c>
      <x:c r="C259" s="12" t="str">
        <x:v>areaUnit</x:v>
      </x:c>
      <x:c r="D259" s="12" t="str">
        <x:v>Extract</x:v>
      </x:c>
      <x:c r="E259" s="13" t="str">
        <x:v>sq ft</x:v>
      </x:c>
      <x:c r="F259" s="14" t="n">
        <x:v>1</x:v>
      </x:c>
      <x:c r="G259" s="12" t="str">
        <x:v>Area unit: sq ft</x:v>
      </x:c>
      <x:c r="H259" s="15"/>
      <x:c r="I259" s="16"/>
      <x:c r="J259" s="17"/>
      <x:c r="K259" s="17"/>
      <x:c r="L259" s="17"/>
      <x:c r="M259" s="17"/>
      <x:c r="N259" s="12" t="str">
        <x:v>BV08-02-jamabandi.pdf</x:v>
      </x:c>
      <x:c r="O259" s="12" t="str">
        <x:v>clear</x:v>
      </x:c>
    </x:row>
    <x:row r="260" ht="60" customHeight="1">
      <x:c r="A260" s="12" t="str">
        <x:v>BV08</x:v>
      </x:c>
      <x:c r="B260" s="12" t="str">
        <x:v>BV08-D2</x:v>
      </x:c>
      <x:c r="C260" s="12" t="str">
        <x:v>date</x:v>
      </x:c>
      <x:c r="D260" s="12" t="str">
        <x:v>Extract</x:v>
      </x:c>
      <x:c r="E260" s="13" t="str">
        <x:v>2023-11-13</x:v>
      </x:c>
      <x:c r="F260" s="14" t="n">
        <x:v>1</x:v>
      </x:c>
      <x:c r="G260" s="12" t="str">
        <x:v>Document date: 2023-11-13</x:v>
      </x:c>
      <x:c r="H260" s="15"/>
      <x:c r="I260" s="16"/>
      <x:c r="J260" s="17"/>
      <x:c r="K260" s="17"/>
      <x:c r="L260" s="17"/>
      <x:c r="M260" s="17"/>
      <x:c r="N260" s="12" t="str">
        <x:v>BV08-02-jamabandi.pdf</x:v>
      </x:c>
      <x:c r="O260" s="12" t="str">
        <x:v>clear</x:v>
      </x:c>
    </x:row>
    <x:row r="261" ht="60" customHeight="1">
      <x:c r="A261" s="12" t="str">
        <x:v>BV08</x:v>
      </x:c>
      <x:c r="B261" s="12" t="str">
        <x:v>BV08-D2</x:v>
      </x:c>
      <x:c r="C261" s="12" t="str">
        <x:v>mutationStatus</x:v>
      </x:c>
      <x:c r="D261" s="12" t="str">
        <x:v>Omit</x:v>
      </x:c>
      <x:c r="E261" s="13"/>
      <x:c r="F261" s="14"/>
      <x:c r="G261" s="12"/>
      <x:c r="H261" s="15"/>
      <x:c r="I261" s="16"/>
      <x:c r="J261" s="17"/>
      <x:c r="K261" s="17"/>
      <x:c r="L261" s="17"/>
      <x:c r="M261" s="17"/>
      <x:c r="N261" s="12" t="str">
        <x:v>BV08-02-jamabandi.pdf</x:v>
      </x:c>
      <x:c r="O261" s="12" t="str">
        <x:v>Not stated in this file</x:v>
      </x:c>
    </x:row>
    <x:row r="262" ht="60" customHeight="1">
      <x:c r="A262" s="12" t="str">
        <x:v>BV08</x:v>
      </x:c>
      <x:c r="B262" s="12" t="str">
        <x:v>BV08-D2</x:v>
      </x:c>
      <x:c r="C262" s="12" t="str">
        <x:v>mortgage</x:v>
      </x:c>
      <x:c r="D262" s="12" t="str">
        <x:v>Omit</x:v>
      </x:c>
      <x:c r="E262" s="13"/>
      <x:c r="F262" s="14"/>
      <x:c r="G262" s="12"/>
      <x:c r="H262" s="15"/>
      <x:c r="I262" s="16"/>
      <x:c r="J262" s="17"/>
      <x:c r="K262" s="17"/>
      <x:c r="L262" s="17"/>
      <x:c r="M262" s="17"/>
      <x:c r="N262" s="12" t="str">
        <x:v>BV08-02-jamabandi.pdf</x:v>
      </x:c>
      <x:c r="O262" s="12" t="str">
        <x:v>Not stated in this file</x:v>
      </x:c>
    </x:row>
    <x:row r="263" ht="60" customHeight="1">
      <x:c r="A263" s="12" t="str">
        <x:v>BV08</x:v>
      </x:c>
      <x:c r="B263" s="12" t="str">
        <x:v>BV08-D2</x:v>
      </x:c>
      <x:c r="C263" s="12" t="str">
        <x:v>boundaries</x:v>
      </x:c>
      <x:c r="D263" s="12" t="str">
        <x:v>Omit</x:v>
      </x:c>
      <x:c r="E263" s="13"/>
      <x:c r="F263" s="14"/>
      <x:c r="G263" s="12"/>
      <x:c r="H263" s="15"/>
      <x:c r="I263" s="16"/>
      <x:c r="J263" s="17"/>
      <x:c r="K263" s="17"/>
      <x:c r="L263" s="17"/>
      <x:c r="M263" s="17"/>
      <x:c r="N263" s="12" t="str">
        <x:v>BV08-02-jamabandi.pdf</x:v>
      </x:c>
      <x:c r="O263" s="12" t="str">
        <x:v>Not stated in this file</x:v>
      </x:c>
    </x:row>
    <x:row r="264" ht="60" customHeight="1">
      <x:c r="A264" s="18" t="str">
        <x:v>BV09</x:v>
      </x:c>
      <x:c r="B264" s="18" t="str">
        <x:v>BV09-D1</x:v>
      </x:c>
      <x:c r="C264" s="18" t="str">
        <x:v>owner</x:v>
      </x:c>
      <x:c r="D264" s="18" t="str">
        <x:v>Omit</x:v>
      </x:c>
      <x:c r="E264" s="19"/>
      <x:c r="F264" s="20"/>
      <x:c r="G264" s="18"/>
      <x:c r="H264" s="21"/>
      <x:c r="I264" s="22"/>
      <x:c r="J264" s="23"/>
      <x:c r="K264" s="23"/>
      <x:c r="L264" s="23"/>
      <x:c r="M264" s="23"/>
      <x:c r="N264" s="18" t="str">
        <x:v>BV09-01-sale-deed.pdf</x:v>
      </x:c>
      <x:c r="O264" s="18" t="str">
        <x:v>Not stated in this file</x:v>
      </x:c>
    </x:row>
    <x:row r="265" ht="60" customHeight="1">
      <x:c r="A265" s="12" t="str">
        <x:v>BV09</x:v>
      </x:c>
      <x:c r="B265" s="12" t="str">
        <x:v>BV09-D1</x:v>
      </x:c>
      <x:c r="C265" s="12" t="str">
        <x:v>seller</x:v>
      </x:c>
      <x:c r="D265" s="12" t="str">
        <x:v>Extract</x:v>
      </x:c>
      <x:c r="E265" s="13" t="str">
        <x:v>Pankaj Demo</x:v>
      </x:c>
      <x:c r="F265" s="14" t="n">
        <x:v>1</x:v>
      </x:c>
      <x:c r="G265" s="12" t="str">
        <x:v>Seller: Pankaj Demo</x:v>
      </x:c>
      <x:c r="H265" s="15"/>
      <x:c r="I265" s="16"/>
      <x:c r="J265" s="17"/>
      <x:c r="K265" s="17"/>
      <x:c r="L265" s="17"/>
      <x:c r="M265" s="17"/>
      <x:c r="N265" s="12" t="str">
        <x:v>BV09-01-sale-deed.pdf</x:v>
      </x:c>
      <x:c r="O265" s="12" t="str">
        <x:v>clear</x:v>
      </x:c>
    </x:row>
    <x:row r="266" ht="60" customHeight="1">
      <x:c r="A266" s="12" t="str">
        <x:v>BV09</x:v>
      </x:c>
      <x:c r="B266" s="12" t="str">
        <x:v>BV09-D1</x:v>
      </x:c>
      <x:c r="C266" s="12" t="str">
        <x:v>buyer</x:v>
      </x:c>
      <x:c r="D266" s="12" t="str">
        <x:v>Extract</x:v>
      </x:c>
      <x:c r="E266" s="13" t="str">
        <x:v>Leela Demo</x:v>
      </x:c>
      <x:c r="F266" s="14" t="n">
        <x:v>1</x:v>
      </x:c>
      <x:c r="G266" s="12" t="str">
        <x:v>Buyer: Leela Demo</x:v>
      </x:c>
      <x:c r="H266" s="15"/>
      <x:c r="I266" s="16"/>
      <x:c r="J266" s="17"/>
      <x:c r="K266" s="17"/>
      <x:c r="L266" s="17"/>
      <x:c r="M266" s="17"/>
      <x:c r="N266" s="12" t="str">
        <x:v>BV09-01-sale-deed.pdf</x:v>
      </x:c>
      <x:c r="O266" s="12" t="str">
        <x:v>clear</x:v>
      </x:c>
    </x:row>
    <x:row r="267" ht="60" customHeight="1">
      <x:c r="A267" s="12" t="str">
        <x:v>BV09</x:v>
      </x:c>
      <x:c r="B267" s="12" t="str">
        <x:v>BV09-D1</x:v>
      </x:c>
      <x:c r="C267" s="12" t="str">
        <x:v>district</x:v>
      </x:c>
      <x:c r="D267" s="12" t="str">
        <x:v>Extract</x:v>
      </x:c>
      <x:c r="E267" s="13" t="str">
        <x:v>Samastipur</x:v>
      </x:c>
      <x:c r="F267" s="14" t="n">
        <x:v>1</x:v>
      </x:c>
      <x:c r="G267" s="12" t="str">
        <x:v>District: Samastipur</x:v>
      </x:c>
      <x:c r="H267" s="15"/>
      <x:c r="I267" s="16"/>
      <x:c r="J267" s="17"/>
      <x:c r="K267" s="17"/>
      <x:c r="L267" s="17"/>
      <x:c r="M267" s="17"/>
      <x:c r="N267" s="12" t="str">
        <x:v>BV09-01-sale-deed.pdf</x:v>
      </x:c>
      <x:c r="O267" s="12" t="str">
        <x:v>clear</x:v>
      </x:c>
    </x:row>
    <x:row r="268" ht="60" customHeight="1">
      <x:c r="A268" s="12" t="str">
        <x:v>BV09</x:v>
      </x:c>
      <x:c r="B268" s="12" t="str">
        <x:v>BV09-D1</x:v>
      </x:c>
      <x:c r="C268" s="12" t="str">
        <x:v>circle</x:v>
      </x:c>
      <x:c r="D268" s="12" t="str">
        <x:v>Extract</x:v>
      </x:c>
      <x:c r="E268" s="13" t="str">
        <x:v>Samastipur</x:v>
      </x:c>
      <x:c r="F268" s="14" t="n">
        <x:v>1</x:v>
      </x:c>
      <x:c r="G268" s="12" t="str">
        <x:v>Anchal / circle: Samastipur</x:v>
      </x:c>
      <x:c r="H268" s="15"/>
      <x:c r="I268" s="16"/>
      <x:c r="J268" s="17"/>
      <x:c r="K268" s="17"/>
      <x:c r="L268" s="17"/>
      <x:c r="M268" s="17"/>
      <x:c r="N268" s="12" t="str">
        <x:v>BV09-01-sale-deed.pdf</x:v>
      </x:c>
      <x:c r="O268" s="12" t="str">
        <x:v>clear</x:v>
      </x:c>
    </x:row>
    <x:row r="269" ht="60" customHeight="1">
      <x:c r="A269" s="12" t="str">
        <x:v>BV09</x:v>
      </x:c>
      <x:c r="B269" s="12" t="str">
        <x:v>BV09-D1</x:v>
      </x:c>
      <x:c r="C269" s="12" t="str">
        <x:v>mauza</x:v>
      </x:c>
      <x:c r="D269" s="12" t="str">
        <x:v>Extract</x:v>
      </x:c>
      <x:c r="E269" s="13" t="str">
        <x:v>Ujjwal Demo Mauza</x:v>
      </x:c>
      <x:c r="F269" s="14" t="n">
        <x:v>1</x:v>
      </x:c>
      <x:c r="G269" s="12" t="str">
        <x:v>Mauza (fictional village): Ujjwal Demo Mauza</x:v>
      </x:c>
      <x:c r="H269" s="15"/>
      <x:c r="I269" s="16"/>
      <x:c r="J269" s="17"/>
      <x:c r="K269" s="17"/>
      <x:c r="L269" s="17"/>
      <x:c r="M269" s="17"/>
      <x:c r="N269" s="12" t="str">
        <x:v>BV09-01-sale-deed.pdf</x:v>
      </x:c>
      <x:c r="O269" s="12" t="str">
        <x:v>clear</x:v>
      </x:c>
    </x:row>
    <x:row r="270" ht="60" customHeight="1">
      <x:c r="A270" s="12" t="str">
        <x:v>BV09</x:v>
      </x:c>
      <x:c r="B270" s="12" t="str">
        <x:v>BV09-D1</x:v>
      </x:c>
      <x:c r="C270" s="12" t="str">
        <x:v>thana</x:v>
      </x:c>
      <x:c r="D270" s="12" t="str">
        <x:v>Omit</x:v>
      </x:c>
      <x:c r="E270" s="13"/>
      <x:c r="F270" s="14"/>
      <x:c r="G270" s="12"/>
      <x:c r="H270" s="15"/>
      <x:c r="I270" s="16"/>
      <x:c r="J270" s="17"/>
      <x:c r="K270" s="17"/>
      <x:c r="L270" s="17"/>
      <x:c r="M270" s="17"/>
      <x:c r="N270" s="12" t="str">
        <x:v>BV09-01-sale-deed.pdf</x:v>
      </x:c>
      <x:c r="O270" s="12" t="str">
        <x:v>Not stated in this file</x:v>
      </x:c>
    </x:row>
    <x:row r="271" ht="60" customHeight="1">
      <x:c r="A271" s="12" t="str">
        <x:v>BV09</x:v>
      </x:c>
      <x:c r="B271" s="12" t="str">
        <x:v>BV09-D1</x:v>
      </x:c>
      <x:c r="C271" s="12" t="str">
        <x:v>khata</x:v>
      </x:c>
      <x:c r="D271" s="12" t="str">
        <x:v>Extract</x:v>
      </x:c>
      <x:c r="E271" s="24" t="str">
        <x:v>0092</x:v>
      </x:c>
      <x:c r="F271" s="14" t="n">
        <x:v>1</x:v>
      </x:c>
      <x:c r="G271" s="12" t="str">
        <x:v>Khata: 0092</x:v>
      </x:c>
      <x:c r="H271" s="15"/>
      <x:c r="I271" s="16"/>
      <x:c r="J271" s="17"/>
      <x:c r="K271" s="17"/>
      <x:c r="L271" s="17"/>
      <x:c r="M271" s="17"/>
      <x:c r="N271" s="12" t="str">
        <x:v>BV09-01-sale-deed.pdf</x:v>
      </x:c>
      <x:c r="O271" s="12" t="str">
        <x:v>clear</x:v>
      </x:c>
    </x:row>
    <x:row r="272" ht="60" customHeight="1">
      <x:c r="A272" s="12" t="str">
        <x:v>BV09</x:v>
      </x:c>
      <x:c r="B272" s="12" t="str">
        <x:v>BV09-D1</x:v>
      </x:c>
      <x:c r="C272" s="12" t="str">
        <x:v>khesra</x:v>
      </x:c>
      <x:c r="D272" s="12" t="str">
        <x:v>Extract</x:v>
      </x:c>
      <x:c r="E272" s="24" t="str">
        <x:v>0416</x:v>
      </x:c>
      <x:c r="F272" s="14" t="n">
        <x:v>1</x:v>
      </x:c>
      <x:c r="G272" s="12" t="str">
        <x:v>Khesra: 0416</x:v>
      </x:c>
      <x:c r="H272" s="15"/>
      <x:c r="I272" s="16"/>
      <x:c r="J272" s="17"/>
      <x:c r="K272" s="17"/>
      <x:c r="L272" s="17"/>
      <x:c r="M272" s="17"/>
      <x:c r="N272" s="12" t="str">
        <x:v>BV09-01-sale-deed.pdf</x:v>
      </x:c>
      <x:c r="O272" s="12" t="str">
        <x:v>clear</x:v>
      </x:c>
    </x:row>
    <x:row r="273" ht="60" customHeight="1">
      <x:c r="A273" s="12" t="str">
        <x:v>BV09</x:v>
      </x:c>
      <x:c r="B273" s="12" t="str">
        <x:v>BV09-D1</x:v>
      </x:c>
      <x:c r="C273" s="12" t="str">
        <x:v>jamabandi</x:v>
      </x:c>
      <x:c r="D273" s="12" t="str">
        <x:v>Omit</x:v>
      </x:c>
      <x:c r="E273" s="13"/>
      <x:c r="F273" s="14"/>
      <x:c r="G273" s="12"/>
      <x:c r="H273" s="15"/>
      <x:c r="I273" s="16"/>
      <x:c r="J273" s="17"/>
      <x:c r="K273" s="17"/>
      <x:c r="L273" s="17"/>
      <x:c r="M273" s="17"/>
      <x:c r="N273" s="12" t="str">
        <x:v>BV09-01-sale-deed.pdf</x:v>
      </x:c>
      <x:c r="O273" s="12" t="str">
        <x:v>Not stated in this file</x:v>
      </x:c>
    </x:row>
    <x:row r="274" ht="60" customHeight="1">
      <x:c r="A274" s="12" t="str">
        <x:v>BV09</x:v>
      </x:c>
      <x:c r="B274" s="12" t="str">
        <x:v>BV09-D1</x:v>
      </x:c>
      <x:c r="C274" s="12" t="str">
        <x:v>area</x:v>
      </x:c>
      <x:c r="D274" s="12" t="str">
        <x:v>Extract</x:v>
      </x:c>
      <x:c r="E274" s="13" t="str">
        <x:v>18</x:v>
      </x:c>
      <x:c r="F274" s="14" t="n">
        <x:v>1</x:v>
      </x:c>
      <x:c r="G274" s="12" t="str">
        <x:v>Area: 18</x:v>
      </x:c>
      <x:c r="H274" s="15"/>
      <x:c r="I274" s="16"/>
      <x:c r="J274" s="17"/>
      <x:c r="K274" s="17"/>
      <x:c r="L274" s="17"/>
      <x:c r="M274" s="17"/>
      <x:c r="N274" s="12" t="str">
        <x:v>BV09-01-sale-deed.pdf</x:v>
      </x:c>
      <x:c r="O274" s="12" t="str">
        <x:v>clear</x:v>
      </x:c>
    </x:row>
    <x:row r="275" ht="60" customHeight="1">
      <x:c r="A275" s="12" t="str">
        <x:v>BV09</x:v>
      </x:c>
      <x:c r="B275" s="12" t="str">
        <x:v>BV09-D1</x:v>
      </x:c>
      <x:c r="C275" s="12" t="str">
        <x:v>areaUnit</x:v>
      </x:c>
      <x:c r="D275" s="12" t="str">
        <x:v>Extract</x:v>
      </x:c>
      <x:c r="E275" s="13" t="str">
        <x:v>decimal</x:v>
      </x:c>
      <x:c r="F275" s="14" t="n">
        <x:v>1</x:v>
      </x:c>
      <x:c r="G275" s="12" t="str">
        <x:v>Area unit: decimal</x:v>
      </x:c>
      <x:c r="H275" s="15"/>
      <x:c r="I275" s="16"/>
      <x:c r="J275" s="17"/>
      <x:c r="K275" s="17"/>
      <x:c r="L275" s="17"/>
      <x:c r="M275" s="17"/>
      <x:c r="N275" s="12" t="str">
        <x:v>BV09-01-sale-deed.pdf</x:v>
      </x:c>
      <x:c r="O275" s="12" t="str">
        <x:v>clear</x:v>
      </x:c>
    </x:row>
    <x:row r="276" ht="60" customHeight="1">
      <x:c r="A276" s="12" t="str">
        <x:v>BV09</x:v>
      </x:c>
      <x:c r="B276" s="12" t="str">
        <x:v>BV09-D1</x:v>
      </x:c>
      <x:c r="C276" s="12" t="str">
        <x:v>date</x:v>
      </x:c>
      <x:c r="D276" s="12" t="str">
        <x:v>Extract</x:v>
      </x:c>
      <x:c r="E276" s="13" t="str">
        <x:v>2025-08-05</x:v>
      </x:c>
      <x:c r="F276" s="14" t="n">
        <x:v>1</x:v>
      </x:c>
      <x:c r="G276" s="12" t="str">
        <x:v>Document date: 2025-08-05</x:v>
      </x:c>
      <x:c r="H276" s="15"/>
      <x:c r="I276" s="16"/>
      <x:c r="J276" s="17"/>
      <x:c r="K276" s="17"/>
      <x:c r="L276" s="17"/>
      <x:c r="M276" s="17"/>
      <x:c r="N276" s="12" t="str">
        <x:v>BV09-01-sale-deed.pdf</x:v>
      </x:c>
      <x:c r="O276" s="12" t="str">
        <x:v>clear</x:v>
      </x:c>
    </x:row>
    <x:row r="277" ht="60" customHeight="1">
      <x:c r="A277" s="12" t="str">
        <x:v>BV09</x:v>
      </x:c>
      <x:c r="B277" s="12" t="str">
        <x:v>BV09-D1</x:v>
      </x:c>
      <x:c r="C277" s="12" t="str">
        <x:v>mutationStatus</x:v>
      </x:c>
      <x:c r="D277" s="12" t="str">
        <x:v>Omit</x:v>
      </x:c>
      <x:c r="E277" s="13"/>
      <x:c r="F277" s="14"/>
      <x:c r="G277" s="12"/>
      <x:c r="H277" s="15"/>
      <x:c r="I277" s="16"/>
      <x:c r="J277" s="17"/>
      <x:c r="K277" s="17"/>
      <x:c r="L277" s="17"/>
      <x:c r="M277" s="17"/>
      <x:c r="N277" s="12" t="str">
        <x:v>BV09-01-sale-deed.pdf</x:v>
      </x:c>
      <x:c r="O277" s="12" t="str">
        <x:v>Not stated in this file</x:v>
      </x:c>
    </x:row>
    <x:row r="278" ht="60" customHeight="1">
      <x:c r="A278" s="12" t="str">
        <x:v>BV09</x:v>
      </x:c>
      <x:c r="B278" s="12" t="str">
        <x:v>BV09-D1</x:v>
      </x:c>
      <x:c r="C278" s="12" t="str">
        <x:v>mortgage</x:v>
      </x:c>
      <x:c r="D278" s="12" t="str">
        <x:v>Omit</x:v>
      </x:c>
      <x:c r="E278" s="13"/>
      <x:c r="F278" s="14"/>
      <x:c r="G278" s="12"/>
      <x:c r="H278" s="15"/>
      <x:c r="I278" s="16"/>
      <x:c r="J278" s="17"/>
      <x:c r="K278" s="17"/>
      <x:c r="L278" s="17"/>
      <x:c r="M278" s="17"/>
      <x:c r="N278" s="12" t="str">
        <x:v>BV09-01-sale-deed.pdf</x:v>
      </x:c>
      <x:c r="O278" s="12" t="str">
        <x:v>Not stated in this file</x:v>
      </x:c>
    </x:row>
    <x:row r="279" ht="60" customHeight="1">
      <x:c r="A279" s="12" t="str">
        <x:v>BV09</x:v>
      </x:c>
      <x:c r="B279" s="12" t="str">
        <x:v>BV09-D1</x:v>
      </x:c>
      <x:c r="C279" s="12" t="str">
        <x:v>boundaries</x:v>
      </x:c>
      <x:c r="D279" s="12" t="str">
        <x:v>Omit</x:v>
      </x:c>
      <x:c r="E279" s="13"/>
      <x:c r="F279" s="14"/>
      <x:c r="G279" s="12"/>
      <x:c r="H279" s="15"/>
      <x:c r="I279" s="16"/>
      <x:c r="J279" s="17"/>
      <x:c r="K279" s="17"/>
      <x:c r="L279" s="17"/>
      <x:c r="M279" s="17"/>
      <x:c r="N279" s="12" t="str">
        <x:v>BV09-01-sale-deed.pdf</x:v>
      </x:c>
      <x:c r="O279" s="12" t="str">
        <x:v>Not stated in this file</x:v>
      </x:c>
    </x:row>
    <x:row r="280" ht="60" customHeight="1">
      <x:c r="A280" s="18" t="str">
        <x:v>BV10</x:v>
      </x:c>
      <x:c r="B280" s="18" t="str">
        <x:v>BV10-D1</x:v>
      </x:c>
      <x:c r="C280" s="18" t="str">
        <x:v>owner</x:v>
      </x:c>
      <x:c r="D280" s="18" t="str">
        <x:v>Omit</x:v>
      </x:c>
      <x:c r="E280" s="19"/>
      <x:c r="F280" s="20"/>
      <x:c r="G280" s="18"/>
      <x:c r="H280" s="21"/>
      <x:c r="I280" s="22"/>
      <x:c r="J280" s="23"/>
      <x:c r="K280" s="23"/>
      <x:c r="L280" s="23"/>
      <x:c r="M280" s="23"/>
      <x:c r="N280" s="18" t="str">
        <x:v>BV10-01-sale-deed.pdf</x:v>
      </x:c>
      <x:c r="O280" s="18" t="str">
        <x:v>Not stated in this file</x:v>
      </x:c>
    </x:row>
    <x:row r="281" ht="60" customHeight="1">
      <x:c r="A281" s="12" t="str">
        <x:v>BV10</x:v>
      </x:c>
      <x:c r="B281" s="12" t="str">
        <x:v>BV10-D1</x:v>
      </x:c>
      <x:c r="C281" s="12" t="str">
        <x:v>seller</x:v>
      </x:c>
      <x:c r="D281" s="12" t="str">
        <x:v>Extract</x:v>
      </x:c>
      <x:c r="E281" s="13" t="str">
        <x:v>आशा डेमो</x:v>
      </x:c>
      <x:c r="F281" s="14" t="n">
        <x:v>1</x:v>
      </x:c>
      <x:c r="G281" s="12" t="str">
        <x:v>विक्रेता: आशा डेमो</x:v>
      </x:c>
      <x:c r="H281" s="15"/>
      <x:c r="I281" s="16"/>
      <x:c r="J281" s="17"/>
      <x:c r="K281" s="17"/>
      <x:c r="L281" s="17"/>
      <x:c r="M281" s="17"/>
      <x:c r="N281" s="12" t="str">
        <x:v>BV10-01-sale-deed.pdf</x:v>
      </x:c>
      <x:c r="O281" s="12" t="str">
        <x:v>clear</x:v>
      </x:c>
    </x:row>
    <x:row r="282" ht="60" customHeight="1">
      <x:c r="A282" s="12" t="str">
        <x:v>BV10</x:v>
      </x:c>
      <x:c r="B282" s="12" t="str">
        <x:v>BV10-D1</x:v>
      </x:c>
      <x:c r="C282" s="12" t="str">
        <x:v>buyer</x:v>
      </x:c>
      <x:c r="D282" s="12" t="str">
        <x:v>Extract</x:v>
      </x:c>
      <x:c r="E282" s="13" t="str">
        <x:v>विवेक डेमो</x:v>
      </x:c>
      <x:c r="F282" s="14" t="n">
        <x:v>1</x:v>
      </x:c>
      <x:c r="G282" s="12" t="str">
        <x:v>क्रेता: विवेक डेमो</x:v>
      </x:c>
      <x:c r="H282" s="15"/>
      <x:c r="I282" s="16"/>
      <x:c r="J282" s="17"/>
      <x:c r="K282" s="17"/>
      <x:c r="L282" s="17"/>
      <x:c r="M282" s="17"/>
      <x:c r="N282" s="12" t="str">
        <x:v>BV10-01-sale-deed.pdf</x:v>
      </x:c>
      <x:c r="O282" s="12" t="str">
        <x:v>clear</x:v>
      </x:c>
    </x:row>
    <x:row r="283" ht="60" customHeight="1">
      <x:c r="A283" s="12" t="str">
        <x:v>BV10</x:v>
      </x:c>
      <x:c r="B283" s="12" t="str">
        <x:v>BV10-D1</x:v>
      </x:c>
      <x:c r="C283" s="12" t="str">
        <x:v>district</x:v>
      </x:c>
      <x:c r="D283" s="12" t="str">
        <x:v>Extract</x:v>
      </x:c>
      <x:c r="E283" s="13" t="str">
        <x:v>पटना</x:v>
      </x:c>
      <x:c r="F283" s="14" t="n">
        <x:v>1</x:v>
      </x:c>
      <x:c r="G283" s="12" t="str">
        <x:v>जिला: पटना</x:v>
      </x:c>
      <x:c r="H283" s="15"/>
      <x:c r="I283" s="16"/>
      <x:c r="J283" s="17"/>
      <x:c r="K283" s="17"/>
      <x:c r="L283" s="17"/>
      <x:c r="M283" s="17"/>
      <x:c r="N283" s="12" t="str">
        <x:v>BV10-01-sale-deed.pdf</x:v>
      </x:c>
      <x:c r="O283" s="12" t="str">
        <x:v>clear</x:v>
      </x:c>
    </x:row>
    <x:row r="284" ht="60" customHeight="1">
      <x:c r="A284" s="12" t="str">
        <x:v>BV10</x:v>
      </x:c>
      <x:c r="B284" s="12" t="str">
        <x:v>BV10-D1</x:v>
      </x:c>
      <x:c r="C284" s="12" t="str">
        <x:v>circle</x:v>
      </x:c>
      <x:c r="D284" s="12" t="str">
        <x:v>Extract</x:v>
      </x:c>
      <x:c r="E284" s="13" t="str">
        <x:v>दानापुर</x:v>
      </x:c>
      <x:c r="F284" s="14" t="n">
        <x:v>1</x:v>
      </x:c>
      <x:c r="G284" s="12" t="str">
        <x:v>अंचल: दानापुर</x:v>
      </x:c>
      <x:c r="H284" s="15"/>
      <x:c r="I284" s="16"/>
      <x:c r="J284" s="17"/>
      <x:c r="K284" s="17"/>
      <x:c r="L284" s="17"/>
      <x:c r="M284" s="17"/>
      <x:c r="N284" s="12" t="str">
        <x:v>BV10-01-sale-deed.pdf</x:v>
      </x:c>
      <x:c r="O284" s="12" t="str">
        <x:v>clear</x:v>
      </x:c>
    </x:row>
    <x:row r="285" ht="60" customHeight="1">
      <x:c r="A285" s="12" t="str">
        <x:v>BV10</x:v>
      </x:c>
      <x:c r="B285" s="12" t="str">
        <x:v>BV10-D1</x:v>
      </x:c>
      <x:c r="C285" s="12" t="str">
        <x:v>mauza</x:v>
      </x:c>
      <x:c r="D285" s="12" t="str">
        <x:v>Extract</x:v>
      </x:c>
      <x:c r="E285" s="13" t="str">
        <x:v>कल्पतरु डेमो मौजा</x:v>
      </x:c>
      <x:c r="F285" s="14" t="n">
        <x:v>1</x:v>
      </x:c>
      <x:c r="G285" s="12" t="str">
        <x:v>मौजा (काल्पनिक गाँव): कल्पतरु डेमो मौजा</x:v>
      </x:c>
      <x:c r="H285" s="15"/>
      <x:c r="I285" s="16"/>
      <x:c r="J285" s="17"/>
      <x:c r="K285" s="17"/>
      <x:c r="L285" s="17"/>
      <x:c r="M285" s="17"/>
      <x:c r="N285" s="12" t="str">
        <x:v>BV10-01-sale-deed.pdf</x:v>
      </x:c>
      <x:c r="O285" s="12" t="str">
        <x:v>clear</x:v>
      </x:c>
    </x:row>
    <x:row r="286" ht="60" customHeight="1">
      <x:c r="A286" s="12" t="str">
        <x:v>BV10</x:v>
      </x:c>
      <x:c r="B286" s="12" t="str">
        <x:v>BV10-D1</x:v>
      </x:c>
      <x:c r="C286" s="12" t="str">
        <x:v>thana</x:v>
      </x:c>
      <x:c r="D286" s="12" t="str">
        <x:v>Omit</x:v>
      </x:c>
      <x:c r="E286" s="13"/>
      <x:c r="F286" s="14"/>
      <x:c r="G286" s="12"/>
      <x:c r="H286" s="15"/>
      <x:c r="I286" s="16"/>
      <x:c r="J286" s="17"/>
      <x:c r="K286" s="17"/>
      <x:c r="L286" s="17"/>
      <x:c r="M286" s="17"/>
      <x:c r="N286" s="12" t="str">
        <x:v>BV10-01-sale-deed.pdf</x:v>
      </x:c>
      <x:c r="O286" s="12" t="str">
        <x:v>Not stated in this file</x:v>
      </x:c>
    </x:row>
    <x:row r="287" ht="60" customHeight="1">
      <x:c r="A287" s="12" t="str">
        <x:v>BV10</x:v>
      </x:c>
      <x:c r="B287" s="12" t="str">
        <x:v>BV10-D1</x:v>
      </x:c>
      <x:c r="C287" s="12" t="str">
        <x:v>khata</x:v>
      </x:c>
      <x:c r="D287" s="12" t="str">
        <x:v>Extract</x:v>
      </x:c>
      <x:c r="E287" s="13" t="str">
        <x:v>००७२</x:v>
      </x:c>
      <x:c r="F287" s="14" t="n">
        <x:v>1</x:v>
      </x:c>
      <x:c r="G287" s="12" t="str">
        <x:v>खाता: ००७२</x:v>
      </x:c>
      <x:c r="H287" s="15"/>
      <x:c r="I287" s="16"/>
      <x:c r="J287" s="17"/>
      <x:c r="K287" s="17"/>
      <x:c r="L287" s="17"/>
      <x:c r="M287" s="17"/>
      <x:c r="N287" s="12" t="str">
        <x:v>BV10-01-sale-deed.pdf</x:v>
      </x:c>
      <x:c r="O287" s="12" t="str">
        <x:v>clear</x:v>
      </x:c>
    </x:row>
    <x:row r="288" ht="60" customHeight="1">
      <x:c r="A288" s="12" t="str">
        <x:v>BV10</x:v>
      </x:c>
      <x:c r="B288" s="12" t="str">
        <x:v>BV10-D1</x:v>
      </x:c>
      <x:c r="C288" s="12" t="str">
        <x:v>khesra</x:v>
      </x:c>
      <x:c r="D288" s="12" t="str">
        <x:v>Extract</x:v>
      </x:c>
      <x:c r="E288" s="13" t="str">
        <x:v>००१४</x:v>
      </x:c>
      <x:c r="F288" s="14" t="n">
        <x:v>1</x:v>
      </x:c>
      <x:c r="G288" s="12" t="str">
        <x:v>खेसरा: ००१४</x:v>
      </x:c>
      <x:c r="H288" s="15"/>
      <x:c r="I288" s="16"/>
      <x:c r="J288" s="17"/>
      <x:c r="K288" s="17"/>
      <x:c r="L288" s="17"/>
      <x:c r="M288" s="17"/>
      <x:c r="N288" s="12" t="str">
        <x:v>BV10-01-sale-deed.pdf</x:v>
      </x:c>
      <x:c r="O288" s="12" t="str">
        <x:v>clear</x:v>
      </x:c>
    </x:row>
    <x:row r="289" ht="60" customHeight="1">
      <x:c r="A289" s="12" t="str">
        <x:v>BV10</x:v>
      </x:c>
      <x:c r="B289" s="12" t="str">
        <x:v>BV10-D1</x:v>
      </x:c>
      <x:c r="C289" s="12" t="str">
        <x:v>jamabandi</x:v>
      </x:c>
      <x:c r="D289" s="12" t="str">
        <x:v>Omit</x:v>
      </x:c>
      <x:c r="E289" s="13"/>
      <x:c r="F289" s="14"/>
      <x:c r="G289" s="12"/>
      <x:c r="H289" s="15"/>
      <x:c r="I289" s="16"/>
      <x:c r="J289" s="17"/>
      <x:c r="K289" s="17"/>
      <x:c r="L289" s="17"/>
      <x:c r="M289" s="17"/>
      <x:c r="N289" s="12" t="str">
        <x:v>BV10-01-sale-deed.pdf</x:v>
      </x:c>
      <x:c r="O289" s="12" t="str">
        <x:v>Not stated in this file</x:v>
      </x:c>
    </x:row>
    <x:row r="290" ht="60" customHeight="1">
      <x:c r="A290" s="12" t="str">
        <x:v>BV10</x:v>
      </x:c>
      <x:c r="B290" s="12" t="str">
        <x:v>BV10-D1</x:v>
      </x:c>
      <x:c r="C290" s="12" t="str">
        <x:v>area</x:v>
      </x:c>
      <x:c r="D290" s="12" t="str">
        <x:v>Extract</x:v>
      </x:c>
      <x:c r="E290" s="13" t="str">
        <x:v>९</x:v>
      </x:c>
      <x:c r="F290" s="14" t="n">
        <x:v>1</x:v>
      </x:c>
      <x:c r="G290" s="12" t="str">
        <x:v>रकबा: ९</x:v>
      </x:c>
      <x:c r="H290" s="15"/>
      <x:c r="I290" s="16"/>
      <x:c r="J290" s="17"/>
      <x:c r="K290" s="17"/>
      <x:c r="L290" s="17"/>
      <x:c r="M290" s="17"/>
      <x:c r="N290" s="12" t="str">
        <x:v>BV10-01-sale-deed.pdf</x:v>
      </x:c>
      <x:c r="O290" s="12" t="str">
        <x:v>clear</x:v>
      </x:c>
    </x:row>
    <x:row r="291" ht="60" customHeight="1">
      <x:c r="A291" s="12" t="str">
        <x:v>BV10</x:v>
      </x:c>
      <x:c r="B291" s="12" t="str">
        <x:v>BV10-D1</x:v>
      </x:c>
      <x:c r="C291" s="12" t="str">
        <x:v>areaUnit</x:v>
      </x:c>
      <x:c r="D291" s="12" t="str">
        <x:v>Extract</x:v>
      </x:c>
      <x:c r="E291" s="13" t="str">
        <x:v>डिसमिल</x:v>
      </x:c>
      <x:c r="F291" s="14" t="n">
        <x:v>1</x:v>
      </x:c>
      <x:c r="G291" s="12" t="str">
        <x:v>रकबा इकाई: डिसमिल</x:v>
      </x:c>
      <x:c r="H291" s="15"/>
      <x:c r="I291" s="16"/>
      <x:c r="J291" s="17"/>
      <x:c r="K291" s="17"/>
      <x:c r="L291" s="17"/>
      <x:c r="M291" s="17"/>
      <x:c r="N291" s="12" t="str">
        <x:v>BV10-01-sale-deed.pdf</x:v>
      </x:c>
      <x:c r="O291" s="12" t="str">
        <x:v>clear</x:v>
      </x:c>
    </x:row>
    <x:row r="292" ht="60" customHeight="1">
      <x:c r="A292" s="12" t="str">
        <x:v>BV10</x:v>
      </x:c>
      <x:c r="B292" s="12" t="str">
        <x:v>BV10-D1</x:v>
      </x:c>
      <x:c r="C292" s="12" t="str">
        <x:v>date</x:v>
      </x:c>
      <x:c r="D292" s="12" t="str">
        <x:v>Extract</x:v>
      </x:c>
      <x:c r="E292" s="13" t="str">
        <x:v>2024-05-17</x:v>
      </x:c>
      <x:c r="F292" s="14" t="n">
        <x:v>1</x:v>
      </x:c>
      <x:c r="G292" s="12" t="str">
        <x:v>दस्तावेज की तारीख: 2024-05-17</x:v>
      </x:c>
      <x:c r="H292" s="15"/>
      <x:c r="I292" s="16"/>
      <x:c r="J292" s="17"/>
      <x:c r="K292" s="17"/>
      <x:c r="L292" s="17"/>
      <x:c r="M292" s="17"/>
      <x:c r="N292" s="12" t="str">
        <x:v>BV10-01-sale-deed.pdf</x:v>
      </x:c>
      <x:c r="O292" s="12" t="str">
        <x:v>clear</x:v>
      </x:c>
    </x:row>
    <x:row r="293" ht="60" customHeight="1">
      <x:c r="A293" s="12" t="str">
        <x:v>BV10</x:v>
      </x:c>
      <x:c r="B293" s="12" t="str">
        <x:v>BV10-D1</x:v>
      </x:c>
      <x:c r="C293" s="12" t="str">
        <x:v>mutationStatus</x:v>
      </x:c>
      <x:c r="D293" s="12" t="str">
        <x:v>Omit</x:v>
      </x:c>
      <x:c r="E293" s="13"/>
      <x:c r="F293" s="14"/>
      <x:c r="G293" s="12"/>
      <x:c r="H293" s="15"/>
      <x:c r="I293" s="16"/>
      <x:c r="J293" s="17"/>
      <x:c r="K293" s="17"/>
      <x:c r="L293" s="17"/>
      <x:c r="M293" s="17"/>
      <x:c r="N293" s="12" t="str">
        <x:v>BV10-01-sale-deed.pdf</x:v>
      </x:c>
      <x:c r="O293" s="12" t="str">
        <x:v>Not stated in this file</x:v>
      </x:c>
    </x:row>
    <x:row r="294" ht="60" customHeight="1">
      <x:c r="A294" s="12" t="str">
        <x:v>BV10</x:v>
      </x:c>
      <x:c r="B294" s="12" t="str">
        <x:v>BV10-D1</x:v>
      </x:c>
      <x:c r="C294" s="12" t="str">
        <x:v>mortgage</x:v>
      </x:c>
      <x:c r="D294" s="12" t="str">
        <x:v>Omit</x:v>
      </x:c>
      <x:c r="E294" s="13"/>
      <x:c r="F294" s="14"/>
      <x:c r="G294" s="12"/>
      <x:c r="H294" s="15"/>
      <x:c r="I294" s="16"/>
      <x:c r="J294" s="17"/>
      <x:c r="K294" s="17"/>
      <x:c r="L294" s="17"/>
      <x:c r="M294" s="17"/>
      <x:c r="N294" s="12" t="str">
        <x:v>BV10-01-sale-deed.pdf</x:v>
      </x:c>
      <x:c r="O294" s="12" t="str">
        <x:v>Not stated in this file</x:v>
      </x:c>
    </x:row>
    <x:row r="295" ht="60" customHeight="1">
      <x:c r="A295" s="12" t="str">
        <x:v>BV10</x:v>
      </x:c>
      <x:c r="B295" s="12" t="str">
        <x:v>BV10-D1</x:v>
      </x:c>
      <x:c r="C295" s="12" t="str">
        <x:v>boundaries</x:v>
      </x:c>
      <x:c r="D295" s="12" t="str">
        <x:v>Omit</x:v>
      </x:c>
      <x:c r="E295" s="13"/>
      <x:c r="F295" s="14"/>
      <x:c r="G295" s="12"/>
      <x:c r="H295" s="15"/>
      <x:c r="I295" s="16"/>
      <x:c r="J295" s="17"/>
      <x:c r="K295" s="17"/>
      <x:c r="L295" s="17"/>
      <x:c r="M295" s="17"/>
      <x:c r="N295" s="12" t="str">
        <x:v>BV10-01-sale-deed.pdf</x:v>
      </x:c>
      <x:c r="O295" s="12" t="str">
        <x:v>Not stated in this file</x:v>
      </x:c>
    </x:row>
    <x:row r="296" ht="60" customHeight="1">
      <x:c r="A296" s="18" t="str">
        <x:v>BV10</x:v>
      </x:c>
      <x:c r="B296" s="18" t="str">
        <x:v>BV10-D2</x:v>
      </x:c>
      <x:c r="C296" s="18" t="str">
        <x:v>owner</x:v>
      </x:c>
      <x:c r="D296" s="18" t="str">
        <x:v>Extract</x:v>
      </x:c>
      <x:c r="E296" s="19" t="str">
        <x:v>विवेक डेमो</x:v>
      </x:c>
      <x:c r="F296" s="20" t="n">
        <x:v>1</x:v>
      </x:c>
      <x:c r="G296" s="18" t="str">
        <x:v>दर्ज रैयत: विवेक डेमो</x:v>
      </x:c>
      <x:c r="H296" s="21"/>
      <x:c r="I296" s="22"/>
      <x:c r="J296" s="23"/>
      <x:c r="K296" s="23"/>
      <x:c r="L296" s="23"/>
      <x:c r="M296" s="23"/>
      <x:c r="N296" s="18" t="str">
        <x:v>BV10-02-jamabandi.pdf</x:v>
      </x:c>
      <x:c r="O296" s="18" t="str">
        <x:v>clear</x:v>
      </x:c>
    </x:row>
    <x:row r="297" ht="60" customHeight="1">
      <x:c r="A297" s="12" t="str">
        <x:v>BV10</x:v>
      </x:c>
      <x:c r="B297" s="12" t="str">
        <x:v>BV10-D2</x:v>
      </x:c>
      <x:c r="C297" s="12" t="str">
        <x:v>seller</x:v>
      </x:c>
      <x:c r="D297" s="12" t="str">
        <x:v>Omit</x:v>
      </x:c>
      <x:c r="E297" s="13"/>
      <x:c r="F297" s="14"/>
      <x:c r="G297" s="12"/>
      <x:c r="H297" s="15"/>
      <x:c r="I297" s="16"/>
      <x:c r="J297" s="17"/>
      <x:c r="K297" s="17"/>
      <x:c r="L297" s="17"/>
      <x:c r="M297" s="17"/>
      <x:c r="N297" s="12" t="str">
        <x:v>BV10-02-jamabandi.pdf</x:v>
      </x:c>
      <x:c r="O297" s="12" t="str">
        <x:v>Not stated in this file</x:v>
      </x:c>
    </x:row>
    <x:row r="298" ht="60" customHeight="1">
      <x:c r="A298" s="12" t="str">
        <x:v>BV10</x:v>
      </x:c>
      <x:c r="B298" s="12" t="str">
        <x:v>BV10-D2</x:v>
      </x:c>
      <x:c r="C298" s="12" t="str">
        <x:v>buyer</x:v>
      </x:c>
      <x:c r="D298" s="12" t="str">
        <x:v>Omit</x:v>
      </x:c>
      <x:c r="E298" s="13"/>
      <x:c r="F298" s="14"/>
      <x:c r="G298" s="12"/>
      <x:c r="H298" s="15"/>
      <x:c r="I298" s="16"/>
      <x:c r="J298" s="17"/>
      <x:c r="K298" s="17"/>
      <x:c r="L298" s="17"/>
      <x:c r="M298" s="17"/>
      <x:c r="N298" s="12" t="str">
        <x:v>BV10-02-jamabandi.pdf</x:v>
      </x:c>
      <x:c r="O298" s="12" t="str">
        <x:v>Not stated in this file</x:v>
      </x:c>
    </x:row>
    <x:row r="299" ht="60" customHeight="1">
      <x:c r="A299" s="12" t="str">
        <x:v>BV10</x:v>
      </x:c>
      <x:c r="B299" s="12" t="str">
        <x:v>BV10-D2</x:v>
      </x:c>
      <x:c r="C299" s="12" t="str">
        <x:v>district</x:v>
      </x:c>
      <x:c r="D299" s="12" t="str">
        <x:v>Extract</x:v>
      </x:c>
      <x:c r="E299" s="13" t="str">
        <x:v>पटना</x:v>
      </x:c>
      <x:c r="F299" s="14" t="n">
        <x:v>1</x:v>
      </x:c>
      <x:c r="G299" s="12" t="str">
        <x:v>जिला: पटना</x:v>
      </x:c>
      <x:c r="H299" s="15"/>
      <x:c r="I299" s="16"/>
      <x:c r="J299" s="17"/>
      <x:c r="K299" s="17"/>
      <x:c r="L299" s="17"/>
      <x:c r="M299" s="17"/>
      <x:c r="N299" s="12" t="str">
        <x:v>BV10-02-jamabandi.pdf</x:v>
      </x:c>
      <x:c r="O299" s="12" t="str">
        <x:v>clear</x:v>
      </x:c>
    </x:row>
    <x:row r="300" ht="60" customHeight="1">
      <x:c r="A300" s="12" t="str">
        <x:v>BV10</x:v>
      </x:c>
      <x:c r="B300" s="12" t="str">
        <x:v>BV10-D2</x:v>
      </x:c>
      <x:c r="C300" s="12" t="str">
        <x:v>circle</x:v>
      </x:c>
      <x:c r="D300" s="12" t="str">
        <x:v>Extract</x:v>
      </x:c>
      <x:c r="E300" s="13" t="str">
        <x:v>दानापुर</x:v>
      </x:c>
      <x:c r="F300" s="14" t="n">
        <x:v>1</x:v>
      </x:c>
      <x:c r="G300" s="12" t="str">
        <x:v>अंचल: दानापुर</x:v>
      </x:c>
      <x:c r="H300" s="15"/>
      <x:c r="I300" s="16"/>
      <x:c r="J300" s="17"/>
      <x:c r="K300" s="17"/>
      <x:c r="L300" s="17"/>
      <x:c r="M300" s="17"/>
      <x:c r="N300" s="12" t="str">
        <x:v>BV10-02-jamabandi.pdf</x:v>
      </x:c>
      <x:c r="O300" s="12" t="str">
        <x:v>clear</x:v>
      </x:c>
    </x:row>
    <x:row r="301" ht="60" customHeight="1">
      <x:c r="A301" s="12" t="str">
        <x:v>BV10</x:v>
      </x:c>
      <x:c r="B301" s="12" t="str">
        <x:v>BV10-D2</x:v>
      </x:c>
      <x:c r="C301" s="12" t="str">
        <x:v>mauza</x:v>
      </x:c>
      <x:c r="D301" s="12" t="str">
        <x:v>Extract</x:v>
      </x:c>
      <x:c r="E301" s="13" t="str">
        <x:v>कल्पतरु डेमो मौजा</x:v>
      </x:c>
      <x:c r="F301" s="14" t="n">
        <x:v>1</x:v>
      </x:c>
      <x:c r="G301" s="12" t="str">
        <x:v>मौजा (काल्पनिक गाँव): कल्पतरु डेमो मौजा</x:v>
      </x:c>
      <x:c r="H301" s="15"/>
      <x:c r="I301" s="16"/>
      <x:c r="J301" s="17"/>
      <x:c r="K301" s="17"/>
      <x:c r="L301" s="17"/>
      <x:c r="M301" s="17"/>
      <x:c r="N301" s="12" t="str">
        <x:v>BV10-02-jamabandi.pdf</x:v>
      </x:c>
      <x:c r="O301" s="12" t="str">
        <x:v>clear</x:v>
      </x:c>
    </x:row>
    <x:row r="302" ht="60" customHeight="1">
      <x:c r="A302" s="12" t="str">
        <x:v>BV10</x:v>
      </x:c>
      <x:c r="B302" s="12" t="str">
        <x:v>BV10-D2</x:v>
      </x:c>
      <x:c r="C302" s="12" t="str">
        <x:v>thana</x:v>
      </x:c>
      <x:c r="D302" s="12" t="str">
        <x:v>Omit</x:v>
      </x:c>
      <x:c r="E302" s="13"/>
      <x:c r="F302" s="14"/>
      <x:c r="G302" s="12"/>
      <x:c r="H302" s="15"/>
      <x:c r="I302" s="16"/>
      <x:c r="J302" s="17"/>
      <x:c r="K302" s="17"/>
      <x:c r="L302" s="17"/>
      <x:c r="M302" s="17"/>
      <x:c r="N302" s="12" t="str">
        <x:v>BV10-02-jamabandi.pdf</x:v>
      </x:c>
      <x:c r="O302" s="12" t="str">
        <x:v>Not stated in this file</x:v>
      </x:c>
    </x:row>
    <x:row r="303" ht="60" customHeight="1">
      <x:c r="A303" s="12" t="str">
        <x:v>BV10</x:v>
      </x:c>
      <x:c r="B303" s="12" t="str">
        <x:v>BV10-D2</x:v>
      </x:c>
      <x:c r="C303" s="12" t="str">
        <x:v>khata</x:v>
      </x:c>
      <x:c r="D303" s="12" t="str">
        <x:v>Extract</x:v>
      </x:c>
      <x:c r="E303" s="13" t="str">
        <x:v>७२</x:v>
      </x:c>
      <x:c r="F303" s="14" t="n">
        <x:v>1</x:v>
      </x:c>
      <x:c r="G303" s="12" t="str">
        <x:v>खाता: ७२</x:v>
      </x:c>
      <x:c r="H303" s="15"/>
      <x:c r="I303" s="16"/>
      <x:c r="J303" s="17"/>
      <x:c r="K303" s="17"/>
      <x:c r="L303" s="17"/>
      <x:c r="M303" s="17"/>
      <x:c r="N303" s="12" t="str">
        <x:v>BV10-02-jamabandi.pdf</x:v>
      </x:c>
      <x:c r="O303" s="12" t="str">
        <x:v>clear</x:v>
      </x:c>
    </x:row>
    <x:row r="304" ht="60" customHeight="1">
      <x:c r="A304" s="12" t="str">
        <x:v>BV10</x:v>
      </x:c>
      <x:c r="B304" s="12" t="str">
        <x:v>BV10-D2</x:v>
      </x:c>
      <x:c r="C304" s="12" t="str">
        <x:v>khesra</x:v>
      </x:c>
      <x:c r="D304" s="12" t="str">
        <x:v>Extract</x:v>
      </x:c>
      <x:c r="E304" s="13" t="str">
        <x:v>१४</x:v>
      </x:c>
      <x:c r="F304" s="14" t="n">
        <x:v>1</x:v>
      </x:c>
      <x:c r="G304" s="12" t="str">
        <x:v>खेसरा: १४</x:v>
      </x:c>
      <x:c r="H304" s="15"/>
      <x:c r="I304" s="16"/>
      <x:c r="J304" s="17"/>
      <x:c r="K304" s="17"/>
      <x:c r="L304" s="17"/>
      <x:c r="M304" s="17"/>
      <x:c r="N304" s="12" t="str">
        <x:v>BV10-02-jamabandi.pdf</x:v>
      </x:c>
      <x:c r="O304" s="12" t="str">
        <x:v>clear</x:v>
      </x:c>
    </x:row>
    <x:row r="305" ht="60" customHeight="1">
      <x:c r="A305" s="12" t="str">
        <x:v>BV10</x:v>
      </x:c>
      <x:c r="B305" s="12" t="str">
        <x:v>BV10-D2</x:v>
      </x:c>
      <x:c r="C305" s="12" t="str">
        <x:v>jamabandi</x:v>
      </x:c>
      <x:c r="D305" s="12" t="str">
        <x:v>Extract</x:v>
      </x:c>
      <x:c r="E305" s="13" t="str">
        <x:v>डेमो-जमाबंदी-१०१०</x:v>
      </x:c>
      <x:c r="F305" s="14" t="n">
        <x:v>1</x:v>
      </x:c>
      <x:c r="G305" s="12" t="str">
        <x:v>जमाबंदी संदर्भ: डेमो-जमाबंदी-१०१०</x:v>
      </x:c>
      <x:c r="H305" s="15"/>
      <x:c r="I305" s="16"/>
      <x:c r="J305" s="17"/>
      <x:c r="K305" s="17"/>
      <x:c r="L305" s="17"/>
      <x:c r="M305" s="17"/>
      <x:c r="N305" s="12" t="str">
        <x:v>BV10-02-jamabandi.pdf</x:v>
      </x:c>
      <x:c r="O305" s="12" t="str">
        <x:v>clear</x:v>
      </x:c>
    </x:row>
    <x:row r="306" ht="60" customHeight="1">
      <x:c r="A306" s="12" t="str">
        <x:v>BV10</x:v>
      </x:c>
      <x:c r="B306" s="12" t="str">
        <x:v>BV10-D2</x:v>
      </x:c>
      <x:c r="C306" s="12" t="str">
        <x:v>area</x:v>
      </x:c>
      <x:c r="D306" s="12" t="str">
        <x:v>Extract</x:v>
      </x:c>
      <x:c r="E306" s="13" t="str">
        <x:v>९</x:v>
      </x:c>
      <x:c r="F306" s="14" t="n">
        <x:v>1</x:v>
      </x:c>
      <x:c r="G306" s="12" t="str">
        <x:v>रकबा: ९</x:v>
      </x:c>
      <x:c r="H306" s="15"/>
      <x:c r="I306" s="16"/>
      <x:c r="J306" s="17"/>
      <x:c r="K306" s="17"/>
      <x:c r="L306" s="17"/>
      <x:c r="M306" s="17"/>
      <x:c r="N306" s="12" t="str">
        <x:v>BV10-02-jamabandi.pdf</x:v>
      </x:c>
      <x:c r="O306" s="12" t="str">
        <x:v>clear</x:v>
      </x:c>
    </x:row>
    <x:row r="307" ht="60" customHeight="1">
      <x:c r="A307" s="12" t="str">
        <x:v>BV10</x:v>
      </x:c>
      <x:c r="B307" s="12" t="str">
        <x:v>BV10-D2</x:v>
      </x:c>
      <x:c r="C307" s="12" t="str">
        <x:v>areaUnit</x:v>
      </x:c>
      <x:c r="D307" s="12" t="str">
        <x:v>Extract</x:v>
      </x:c>
      <x:c r="E307" s="13" t="str">
        <x:v>डिसमिल</x:v>
      </x:c>
      <x:c r="F307" s="14" t="n">
        <x:v>1</x:v>
      </x:c>
      <x:c r="G307" s="12" t="str">
        <x:v>रकबा इकाई: डिसमिल</x:v>
      </x:c>
      <x:c r="H307" s="15"/>
      <x:c r="I307" s="16"/>
      <x:c r="J307" s="17"/>
      <x:c r="K307" s="17"/>
      <x:c r="L307" s="17"/>
      <x:c r="M307" s="17"/>
      <x:c r="N307" s="12" t="str">
        <x:v>BV10-02-jamabandi.pdf</x:v>
      </x:c>
      <x:c r="O307" s="12" t="str">
        <x:v>clear</x:v>
      </x:c>
    </x:row>
    <x:row r="308" ht="60" customHeight="1">
      <x:c r="A308" s="12" t="str">
        <x:v>BV10</x:v>
      </x:c>
      <x:c r="B308" s="12" t="str">
        <x:v>BV10-D2</x:v>
      </x:c>
      <x:c r="C308" s="12" t="str">
        <x:v>date</x:v>
      </x:c>
      <x:c r="D308" s="12" t="str">
        <x:v>Extract</x:v>
      </x:c>
      <x:c r="E308" s="13" t="str">
        <x:v>2024-10-24</x:v>
      </x:c>
      <x:c r="F308" s="14" t="n">
        <x:v>1</x:v>
      </x:c>
      <x:c r="G308" s="12" t="str">
        <x:v>दस्तावेज की तारीख: 2024-10-24</x:v>
      </x:c>
      <x:c r="H308" s="15"/>
      <x:c r="I308" s="16"/>
      <x:c r="J308" s="17"/>
      <x:c r="K308" s="17"/>
      <x:c r="L308" s="17"/>
      <x:c r="M308" s="17"/>
      <x:c r="N308" s="12" t="str">
        <x:v>BV10-02-jamabandi.pdf</x:v>
      </x:c>
      <x:c r="O308" s="12" t="str">
        <x:v>clear</x:v>
      </x:c>
    </x:row>
    <x:row r="309" ht="60" customHeight="1">
      <x:c r="A309" s="12" t="str">
        <x:v>BV10</x:v>
      </x:c>
      <x:c r="B309" s="12" t="str">
        <x:v>BV10-D2</x:v>
      </x:c>
      <x:c r="C309" s="12" t="str">
        <x:v>mutationStatus</x:v>
      </x:c>
      <x:c r="D309" s="12" t="str">
        <x:v>Omit</x:v>
      </x:c>
      <x:c r="E309" s="13"/>
      <x:c r="F309" s="14"/>
      <x:c r="G309" s="12"/>
      <x:c r="H309" s="15"/>
      <x:c r="I309" s="16"/>
      <x:c r="J309" s="17"/>
      <x:c r="K309" s="17"/>
      <x:c r="L309" s="17"/>
      <x:c r="M309" s="17"/>
      <x:c r="N309" s="12" t="str">
        <x:v>BV10-02-jamabandi.pdf</x:v>
      </x:c>
      <x:c r="O309" s="12" t="str">
        <x:v>Not stated in this file</x:v>
      </x:c>
    </x:row>
    <x:row r="310" ht="60" customHeight="1">
      <x:c r="A310" s="12" t="str">
        <x:v>BV10</x:v>
      </x:c>
      <x:c r="B310" s="12" t="str">
        <x:v>BV10-D2</x:v>
      </x:c>
      <x:c r="C310" s="12" t="str">
        <x:v>mortgage</x:v>
      </x:c>
      <x:c r="D310" s="12" t="str">
        <x:v>Omit</x:v>
      </x:c>
      <x:c r="E310" s="13"/>
      <x:c r="F310" s="14"/>
      <x:c r="G310" s="12"/>
      <x:c r="H310" s="15"/>
      <x:c r="I310" s="16"/>
      <x:c r="J310" s="17"/>
      <x:c r="K310" s="17"/>
      <x:c r="L310" s="17"/>
      <x:c r="M310" s="17"/>
      <x:c r="N310" s="12" t="str">
        <x:v>BV10-02-jamabandi.pdf</x:v>
      </x:c>
      <x:c r="O310" s="12" t="str">
        <x:v>Not stated in this file</x:v>
      </x:c>
    </x:row>
    <x:row r="311" ht="60" customHeight="1">
      <x:c r="A311" s="12" t="str">
        <x:v>BV10</x:v>
      </x:c>
      <x:c r="B311" s="12" t="str">
        <x:v>BV10-D2</x:v>
      </x:c>
      <x:c r="C311" s="12" t="str">
        <x:v>boundaries</x:v>
      </x:c>
      <x:c r="D311" s="12" t="str">
        <x:v>Omit</x:v>
      </x:c>
      <x:c r="E311" s="13"/>
      <x:c r="F311" s="14"/>
      <x:c r="G311" s="12"/>
      <x:c r="H311" s="15"/>
      <x:c r="I311" s="16"/>
      <x:c r="J311" s="17"/>
      <x:c r="K311" s="17"/>
      <x:c r="L311" s="17"/>
      <x:c r="M311" s="17"/>
      <x:c r="N311" s="12" t="str">
        <x:v>BV10-02-jamabandi.pdf</x:v>
      </x:c>
      <x:c r="O311" s="12" t="str">
        <x:v>Not stated in this file</x:v>
      </x:c>
    </x:row>
    <x:row r="312" ht="60" customHeight="1">
      <x:c r="A312" s="18" t="str">
        <x:v>BV11</x:v>
      </x:c>
      <x:c r="B312" s="18" t="str">
        <x:v>BV11-D1</x:v>
      </x:c>
      <x:c r="C312" s="18" t="str">
        <x:v>owner</x:v>
      </x:c>
      <x:c r="D312" s="18" t="str">
        <x:v>Omit</x:v>
      </x:c>
      <x:c r="E312" s="19"/>
      <x:c r="F312" s="20"/>
      <x:c r="G312" s="18"/>
      <x:c r="H312" s="21"/>
      <x:c r="I312" s="22"/>
      <x:c r="J312" s="23"/>
      <x:c r="K312" s="23"/>
      <x:c r="L312" s="23"/>
      <x:c r="M312" s="23"/>
      <x:c r="N312" s="18" t="str">
        <x:v>BV11-01-sale-deed.png</x:v>
      </x:c>
      <x:c r="O312" s="18" t="str">
        <x:v>Not stated in this file</x:v>
      </x:c>
    </x:row>
    <x:row r="313" ht="60" customHeight="1">
      <x:c r="A313" s="12" t="str">
        <x:v>BV11</x:v>
      </x:c>
      <x:c r="B313" s="12" t="str">
        <x:v>BV11-D1</x:v>
      </x:c>
      <x:c r="C313" s="12" t="str">
        <x:v>seller</x:v>
      </x:c>
      <x:c r="D313" s="12" t="str">
        <x:v>Extract</x:v>
      </x:c>
      <x:c r="E313" s="13" t="str">
        <x:v>किरण डेमो</x:v>
      </x:c>
      <x:c r="F313" s="14" t="n">
        <x:v>1</x:v>
      </x:c>
      <x:c r="G313" s="12" t="str">
        <x:v>विक्रेता: किरण डेमो</x:v>
      </x:c>
      <x:c r="H313" s="15"/>
      <x:c r="I313" s="16"/>
      <x:c r="J313" s="17"/>
      <x:c r="K313" s="17"/>
      <x:c r="L313" s="17"/>
      <x:c r="M313" s="17"/>
      <x:c r="N313" s="12" t="str">
        <x:v>BV11-01-sale-deed.png</x:v>
      </x:c>
      <x:c r="O313" s="12" t="str">
        <x:v>clear</x:v>
      </x:c>
    </x:row>
    <x:row r="314" ht="60" customHeight="1">
      <x:c r="A314" s="12" t="str">
        <x:v>BV11</x:v>
      </x:c>
      <x:c r="B314" s="12" t="str">
        <x:v>BV11-D1</x:v>
      </x:c>
      <x:c r="C314" s="12" t="str">
        <x:v>buyer</x:v>
      </x:c>
      <x:c r="D314" s="12" t="str">
        <x:v>Extract</x:v>
      </x:c>
      <x:c r="E314" s="13" t="str">
        <x:v>नेहा डेमो</x:v>
      </x:c>
      <x:c r="F314" s="14" t="n">
        <x:v>1</x:v>
      </x:c>
      <x:c r="G314" s="12" t="str">
        <x:v>क्रेता: नेहा डेमो</x:v>
      </x:c>
      <x:c r="H314" s="15"/>
      <x:c r="I314" s="16"/>
      <x:c r="J314" s="17"/>
      <x:c r="K314" s="17"/>
      <x:c r="L314" s="17"/>
      <x:c r="M314" s="17"/>
      <x:c r="N314" s="12" t="str">
        <x:v>BV11-01-sale-deed.png</x:v>
      </x:c>
      <x:c r="O314" s="12" t="str">
        <x:v>clear</x:v>
      </x:c>
    </x:row>
    <x:row r="315" ht="60" customHeight="1">
      <x:c r="A315" s="12" t="str">
        <x:v>BV11</x:v>
      </x:c>
      <x:c r="B315" s="12" t="str">
        <x:v>BV11-D1</x:v>
      </x:c>
      <x:c r="C315" s="12" t="str">
        <x:v>district</x:v>
      </x:c>
      <x:c r="D315" s="12" t="str">
        <x:v>Extract</x:v>
      </x:c>
      <x:c r="E315" s="13" t="str">
        <x:v>गया</x:v>
      </x:c>
      <x:c r="F315" s="14" t="n">
        <x:v>1</x:v>
      </x:c>
      <x:c r="G315" s="12" t="str">
        <x:v>जिला: गया</x:v>
      </x:c>
      <x:c r="H315" s="15"/>
      <x:c r="I315" s="16"/>
      <x:c r="J315" s="17"/>
      <x:c r="K315" s="17"/>
      <x:c r="L315" s="17"/>
      <x:c r="M315" s="17"/>
      <x:c r="N315" s="12" t="str">
        <x:v>BV11-01-sale-deed.png</x:v>
      </x:c>
      <x:c r="O315" s="12" t="str">
        <x:v>clear</x:v>
      </x:c>
    </x:row>
    <x:row r="316" ht="60" customHeight="1">
      <x:c r="A316" s="12" t="str">
        <x:v>BV11</x:v>
      </x:c>
      <x:c r="B316" s="12" t="str">
        <x:v>BV11-D1</x:v>
      </x:c>
      <x:c r="C316" s="12" t="str">
        <x:v>circle</x:v>
      </x:c>
      <x:c r="D316" s="12" t="str">
        <x:v>Extract</x:v>
      </x:c>
      <x:c r="E316" s="13" t="str">
        <x:v>टिकारी</x:v>
      </x:c>
      <x:c r="F316" s="14" t="n">
        <x:v>1</x:v>
      </x:c>
      <x:c r="G316" s="12" t="str">
        <x:v>अंचल: टिकारी</x:v>
      </x:c>
      <x:c r="H316" s="15"/>
      <x:c r="I316" s="16"/>
      <x:c r="J316" s="17"/>
      <x:c r="K316" s="17"/>
      <x:c r="L316" s="17"/>
      <x:c r="M316" s="17"/>
      <x:c r="N316" s="12" t="str">
        <x:v>BV11-01-sale-deed.png</x:v>
      </x:c>
      <x:c r="O316" s="12" t="str">
        <x:v>clear</x:v>
      </x:c>
    </x:row>
    <x:row r="317" ht="60" customHeight="1">
      <x:c r="A317" s="12" t="str">
        <x:v>BV11</x:v>
      </x:c>
      <x:c r="B317" s="12" t="str">
        <x:v>BV11-D1</x:v>
      </x:c>
      <x:c r="C317" s="12" t="str">
        <x:v>mauza</x:v>
      </x:c>
      <x:c r="D317" s="12" t="str">
        <x:v>Extract</x:v>
      </x:c>
      <x:c r="E317" s="13" t="str">
        <x:v>नवदीप डेमो मौजा</x:v>
      </x:c>
      <x:c r="F317" s="14" t="n">
        <x:v>1</x:v>
      </x:c>
      <x:c r="G317" s="12" t="str">
        <x:v>मौजा (काल्पनिक गाँव): नवदीप डेमो मौजा</x:v>
      </x:c>
      <x:c r="H317" s="15"/>
      <x:c r="I317" s="16"/>
      <x:c r="J317" s="17"/>
      <x:c r="K317" s="17"/>
      <x:c r="L317" s="17"/>
      <x:c r="M317" s="17"/>
      <x:c r="N317" s="12" t="str">
        <x:v>BV11-01-sale-deed.png</x:v>
      </x:c>
      <x:c r="O317" s="12" t="str">
        <x:v>clear</x:v>
      </x:c>
    </x:row>
    <x:row r="318" ht="60" customHeight="1">
      <x:c r="A318" s="12" t="str">
        <x:v>BV11</x:v>
      </x:c>
      <x:c r="B318" s="12" t="str">
        <x:v>BV11-D1</x:v>
      </x:c>
      <x:c r="C318" s="12" t="str">
        <x:v>thana</x:v>
      </x:c>
      <x:c r="D318" s="12" t="str">
        <x:v>Omit</x:v>
      </x:c>
      <x:c r="E318" s="13"/>
      <x:c r="F318" s="14"/>
      <x:c r="G318" s="12"/>
      <x:c r="H318" s="15"/>
      <x:c r="I318" s="16"/>
      <x:c r="J318" s="17"/>
      <x:c r="K318" s="17"/>
      <x:c r="L318" s="17"/>
      <x:c r="M318" s="17"/>
      <x:c r="N318" s="12" t="str">
        <x:v>BV11-01-sale-deed.png</x:v>
      </x:c>
      <x:c r="O318" s="12" t="str">
        <x:v>Not stated in this file</x:v>
      </x:c>
    </x:row>
    <x:row r="319" ht="60" customHeight="1">
      <x:c r="A319" s="12" t="str">
        <x:v>BV11</x:v>
      </x:c>
      <x:c r="B319" s="12" t="str">
        <x:v>BV11-D1</x:v>
      </x:c>
      <x:c r="C319" s="12" t="str">
        <x:v>khata</x:v>
      </x:c>
      <x:c r="D319" s="12" t="str">
        <x:v>Extract</x:v>
      </x:c>
      <x:c r="E319" s="13" t="str">
        <x:v>००८१</x:v>
      </x:c>
      <x:c r="F319" s="14" t="n">
        <x:v>1</x:v>
      </x:c>
      <x:c r="G319" s="12" t="str">
        <x:v>खाता: ००८१</x:v>
      </x:c>
      <x:c r="H319" s="15"/>
      <x:c r="I319" s="16"/>
      <x:c r="J319" s="17"/>
      <x:c r="K319" s="17"/>
      <x:c r="L319" s="17"/>
      <x:c r="M319" s="17"/>
      <x:c r="N319" s="12" t="str">
        <x:v>BV11-01-sale-deed.png</x:v>
      </x:c>
      <x:c r="O319" s="12" t="str">
        <x:v>clear</x:v>
      </x:c>
    </x:row>
    <x:row r="320" ht="60" customHeight="1">
      <x:c r="A320" s="12" t="str">
        <x:v>BV11</x:v>
      </x:c>
      <x:c r="B320" s="12" t="str">
        <x:v>BV11-D1</x:v>
      </x:c>
      <x:c r="C320" s="12" t="str">
        <x:v>khesra</x:v>
      </x:c>
      <x:c r="D320" s="12" t="str">
        <x:v>Extract</x:v>
      </x:c>
      <x:c r="E320" s="13" t="str">
        <x:v>०२४९</x:v>
      </x:c>
      <x:c r="F320" s="14" t="n">
        <x:v>1</x:v>
      </x:c>
      <x:c r="G320" s="12" t="str">
        <x:v>खेसरा: ०२४९</x:v>
      </x:c>
      <x:c r="H320" s="15"/>
      <x:c r="I320" s="16"/>
      <x:c r="J320" s="17"/>
      <x:c r="K320" s="17"/>
      <x:c r="L320" s="17"/>
      <x:c r="M320" s="17"/>
      <x:c r="N320" s="12" t="str">
        <x:v>BV11-01-sale-deed.png</x:v>
      </x:c>
      <x:c r="O320" s="12" t="str">
        <x:v>clear</x:v>
      </x:c>
    </x:row>
    <x:row r="321" ht="60" customHeight="1">
      <x:c r="A321" s="12" t="str">
        <x:v>BV11</x:v>
      </x:c>
      <x:c r="B321" s="12" t="str">
        <x:v>BV11-D1</x:v>
      </x:c>
      <x:c r="C321" s="12" t="str">
        <x:v>jamabandi</x:v>
      </x:c>
      <x:c r="D321" s="12" t="str">
        <x:v>Omit</x:v>
      </x:c>
      <x:c r="E321" s="13"/>
      <x:c r="F321" s="14"/>
      <x:c r="G321" s="12"/>
      <x:c r="H321" s="15"/>
      <x:c r="I321" s="16"/>
      <x:c r="J321" s="17"/>
      <x:c r="K321" s="17"/>
      <x:c r="L321" s="17"/>
      <x:c r="M321" s="17"/>
      <x:c r="N321" s="12" t="str">
        <x:v>BV11-01-sale-deed.png</x:v>
      </x:c>
      <x:c r="O321" s="12" t="str">
        <x:v>Not stated in this file</x:v>
      </x:c>
    </x:row>
    <x:row r="322" ht="60" customHeight="1">
      <x:c r="A322" s="12" t="str">
        <x:v>BV11</x:v>
      </x:c>
      <x:c r="B322" s="12" t="str">
        <x:v>BV11-D1</x:v>
      </x:c>
      <x:c r="C322" s="12" t="str">
        <x:v>area</x:v>
      </x:c>
      <x:c r="D322" s="12" t="str">
        <x:v>Extract</x:v>
      </x:c>
      <x:c r="E322" s="13" t="str">
        <x:v>२</x:v>
      </x:c>
      <x:c r="F322" s="14" t="n">
        <x:v>1</x:v>
      </x:c>
      <x:c r="G322" s="12" t="str">
        <x:v>रकबा: २</x:v>
      </x:c>
      <x:c r="H322" s="15"/>
      <x:c r="I322" s="16"/>
      <x:c r="J322" s="17"/>
      <x:c r="K322" s="17"/>
      <x:c r="L322" s="17"/>
      <x:c r="M322" s="17"/>
      <x:c r="N322" s="12" t="str">
        <x:v>BV11-01-sale-deed.png</x:v>
      </x:c>
      <x:c r="O322" s="12" t="str">
        <x:v>clear</x:v>
      </x:c>
    </x:row>
    <x:row r="323" ht="60" customHeight="1">
      <x:c r="A323" s="12" t="str">
        <x:v>BV11</x:v>
      </x:c>
      <x:c r="B323" s="12" t="str">
        <x:v>BV11-D1</x:v>
      </x:c>
      <x:c r="C323" s="12" t="str">
        <x:v>areaUnit</x:v>
      </x:c>
      <x:c r="D323" s="12" t="str">
        <x:v>Extract</x:v>
      </x:c>
      <x:c r="E323" s="13" t="str">
        <x:v>कट्ठा</x:v>
      </x:c>
      <x:c r="F323" s="14" t="n">
        <x:v>1</x:v>
      </x:c>
      <x:c r="G323" s="12" t="str">
        <x:v>रकबा इकाई: कट्ठा</x:v>
      </x:c>
      <x:c r="H323" s="15"/>
      <x:c r="I323" s="16"/>
      <x:c r="J323" s="17"/>
      <x:c r="K323" s="17"/>
      <x:c r="L323" s="17"/>
      <x:c r="M323" s="17"/>
      <x:c r="N323" s="12" t="str">
        <x:v>BV11-01-sale-deed.png</x:v>
      </x:c>
      <x:c r="O323" s="12" t="str">
        <x:v>clear</x:v>
      </x:c>
    </x:row>
    <x:row r="324" ht="60" customHeight="1">
      <x:c r="A324" s="12" t="str">
        <x:v>BV11</x:v>
      </x:c>
      <x:c r="B324" s="12" t="str">
        <x:v>BV11-D1</x:v>
      </x:c>
      <x:c r="C324" s="12" t="str">
        <x:v>date</x:v>
      </x:c>
      <x:c r="D324" s="12" t="str">
        <x:v>Extract</x:v>
      </x:c>
      <x:c r="E324" s="13" t="str">
        <x:v>2025-02-28</x:v>
      </x:c>
      <x:c r="F324" s="14" t="n">
        <x:v>1</x:v>
      </x:c>
      <x:c r="G324" s="12" t="str">
        <x:v>दस्तावेज की तारीख: 2025-02-28</x:v>
      </x:c>
      <x:c r="H324" s="15"/>
      <x:c r="I324" s="16"/>
      <x:c r="J324" s="17"/>
      <x:c r="K324" s="17"/>
      <x:c r="L324" s="17"/>
      <x:c r="M324" s="17"/>
      <x:c r="N324" s="12" t="str">
        <x:v>BV11-01-sale-deed.png</x:v>
      </x:c>
      <x:c r="O324" s="12" t="str">
        <x:v>clear</x:v>
      </x:c>
    </x:row>
    <x:row r="325" ht="60" customHeight="1">
      <x:c r="A325" s="12" t="str">
        <x:v>BV11</x:v>
      </x:c>
      <x:c r="B325" s="12" t="str">
        <x:v>BV11-D1</x:v>
      </x:c>
      <x:c r="C325" s="12" t="str">
        <x:v>mutationStatus</x:v>
      </x:c>
      <x:c r="D325" s="12" t="str">
        <x:v>Omit</x:v>
      </x:c>
      <x:c r="E325" s="13"/>
      <x:c r="F325" s="14"/>
      <x:c r="G325" s="12"/>
      <x:c r="H325" s="15"/>
      <x:c r="I325" s="16"/>
      <x:c r="J325" s="17"/>
      <x:c r="K325" s="17"/>
      <x:c r="L325" s="17"/>
      <x:c r="M325" s="17"/>
      <x:c r="N325" s="12" t="str">
        <x:v>BV11-01-sale-deed.png</x:v>
      </x:c>
      <x:c r="O325" s="12" t="str">
        <x:v>Not stated in this file</x:v>
      </x:c>
    </x:row>
    <x:row r="326" ht="60" customHeight="1">
      <x:c r="A326" s="12" t="str">
        <x:v>BV11</x:v>
      </x:c>
      <x:c r="B326" s="12" t="str">
        <x:v>BV11-D1</x:v>
      </x:c>
      <x:c r="C326" s="12" t="str">
        <x:v>mortgage</x:v>
      </x:c>
      <x:c r="D326" s="12" t="str">
        <x:v>Omit</x:v>
      </x:c>
      <x:c r="E326" s="13"/>
      <x:c r="F326" s="14"/>
      <x:c r="G326" s="12"/>
      <x:c r="H326" s="15"/>
      <x:c r="I326" s="16"/>
      <x:c r="J326" s="17"/>
      <x:c r="K326" s="17"/>
      <x:c r="L326" s="17"/>
      <x:c r="M326" s="17"/>
      <x:c r="N326" s="12" t="str">
        <x:v>BV11-01-sale-deed.png</x:v>
      </x:c>
      <x:c r="O326" s="12" t="str">
        <x:v>Not stated in this file</x:v>
      </x:c>
    </x:row>
    <x:row r="327" ht="60" customHeight="1">
      <x:c r="A327" s="12" t="str">
        <x:v>BV11</x:v>
      </x:c>
      <x:c r="B327" s="12" t="str">
        <x:v>BV11-D1</x:v>
      </x:c>
      <x:c r="C327" s="12" t="str">
        <x:v>boundaries</x:v>
      </x:c>
      <x:c r="D327" s="12" t="str">
        <x:v>Omit</x:v>
      </x:c>
      <x:c r="E327" s="13"/>
      <x:c r="F327" s="14"/>
      <x:c r="G327" s="12"/>
      <x:c r="H327" s="15"/>
      <x:c r="I327" s="16"/>
      <x:c r="J327" s="17"/>
      <x:c r="K327" s="17"/>
      <x:c r="L327" s="17"/>
      <x:c r="M327" s="17"/>
      <x:c r="N327" s="12" t="str">
        <x:v>BV11-01-sale-deed.png</x:v>
      </x:c>
      <x:c r="O327" s="12" t="str">
        <x:v>Not stated in this file</x:v>
      </x:c>
    </x:row>
    <x:row r="328" ht="60" customHeight="1">
      <x:c r="A328" s="18" t="str">
        <x:v>BV11</x:v>
      </x:c>
      <x:c r="B328" s="18" t="str">
        <x:v>BV11-D2</x:v>
      </x:c>
      <x:c r="C328" s="18" t="str">
        <x:v>owner</x:v>
      </x:c>
      <x:c r="D328" s="18" t="str">
        <x:v>Extract</x:v>
      </x:c>
      <x:c r="E328" s="19" t="str">
        <x:v>नेहा डेमो</x:v>
      </x:c>
      <x:c r="F328" s="20" t="n">
        <x:v>1</x:v>
      </x:c>
      <x:c r="G328" s="18" t="str">
        <x:v>दर्ज रैयत: नेहा डेमो</x:v>
      </x:c>
      <x:c r="H328" s="21"/>
      <x:c r="I328" s="22"/>
      <x:c r="J328" s="23"/>
      <x:c r="K328" s="23"/>
      <x:c r="L328" s="23"/>
      <x:c r="M328" s="23"/>
      <x:c r="N328" s="18" t="str">
        <x:v>BV11-02-jamabandi.png</x:v>
      </x:c>
      <x:c r="O328" s="18" t="str">
        <x:v>clear</x:v>
      </x:c>
    </x:row>
    <x:row r="329" ht="60" customHeight="1">
      <x:c r="A329" s="12" t="str">
        <x:v>BV11</x:v>
      </x:c>
      <x:c r="B329" s="12" t="str">
        <x:v>BV11-D2</x:v>
      </x:c>
      <x:c r="C329" s="12" t="str">
        <x:v>seller</x:v>
      </x:c>
      <x:c r="D329" s="12" t="str">
        <x:v>Omit</x:v>
      </x:c>
      <x:c r="E329" s="13"/>
      <x:c r="F329" s="14"/>
      <x:c r="G329" s="12"/>
      <x:c r="H329" s="15"/>
      <x:c r="I329" s="16"/>
      <x:c r="J329" s="17"/>
      <x:c r="K329" s="17"/>
      <x:c r="L329" s="17"/>
      <x:c r="M329" s="17"/>
      <x:c r="N329" s="12" t="str">
        <x:v>BV11-02-jamabandi.png</x:v>
      </x:c>
      <x:c r="O329" s="12" t="str">
        <x:v>Not stated in this file</x:v>
      </x:c>
    </x:row>
    <x:row r="330" ht="60" customHeight="1">
      <x:c r="A330" s="12" t="str">
        <x:v>BV11</x:v>
      </x:c>
      <x:c r="B330" s="12" t="str">
        <x:v>BV11-D2</x:v>
      </x:c>
      <x:c r="C330" s="12" t="str">
        <x:v>buyer</x:v>
      </x:c>
      <x:c r="D330" s="12" t="str">
        <x:v>Omit</x:v>
      </x:c>
      <x:c r="E330" s="13"/>
      <x:c r="F330" s="14"/>
      <x:c r="G330" s="12"/>
      <x:c r="H330" s="15"/>
      <x:c r="I330" s="16"/>
      <x:c r="J330" s="17"/>
      <x:c r="K330" s="17"/>
      <x:c r="L330" s="17"/>
      <x:c r="M330" s="17"/>
      <x:c r="N330" s="12" t="str">
        <x:v>BV11-02-jamabandi.png</x:v>
      </x:c>
      <x:c r="O330" s="12" t="str">
        <x:v>Not stated in this file</x:v>
      </x:c>
    </x:row>
    <x:row r="331" ht="60" customHeight="1">
      <x:c r="A331" s="12" t="str">
        <x:v>BV11</x:v>
      </x:c>
      <x:c r="B331" s="12" t="str">
        <x:v>BV11-D2</x:v>
      </x:c>
      <x:c r="C331" s="12" t="str">
        <x:v>district</x:v>
      </x:c>
      <x:c r="D331" s="12" t="str">
        <x:v>Extract</x:v>
      </x:c>
      <x:c r="E331" s="13" t="str">
        <x:v>गया</x:v>
      </x:c>
      <x:c r="F331" s="14" t="n">
        <x:v>1</x:v>
      </x:c>
      <x:c r="G331" s="12" t="str">
        <x:v>जिला: गया</x:v>
      </x:c>
      <x:c r="H331" s="15"/>
      <x:c r="I331" s="16"/>
      <x:c r="J331" s="17"/>
      <x:c r="K331" s="17"/>
      <x:c r="L331" s="17"/>
      <x:c r="M331" s="17"/>
      <x:c r="N331" s="12" t="str">
        <x:v>BV11-02-jamabandi.png</x:v>
      </x:c>
      <x:c r="O331" s="12" t="str">
        <x:v>clear</x:v>
      </x:c>
    </x:row>
    <x:row r="332" ht="60" customHeight="1">
      <x:c r="A332" s="12" t="str">
        <x:v>BV11</x:v>
      </x:c>
      <x:c r="B332" s="12" t="str">
        <x:v>BV11-D2</x:v>
      </x:c>
      <x:c r="C332" s="12" t="str">
        <x:v>circle</x:v>
      </x:c>
      <x:c r="D332" s="12" t="str">
        <x:v>Extract</x:v>
      </x:c>
      <x:c r="E332" s="13" t="str">
        <x:v>टिकारी</x:v>
      </x:c>
      <x:c r="F332" s="14" t="n">
        <x:v>1</x:v>
      </x:c>
      <x:c r="G332" s="12" t="str">
        <x:v>अंचल: टिकारी</x:v>
      </x:c>
      <x:c r="H332" s="15"/>
      <x:c r="I332" s="16"/>
      <x:c r="J332" s="17"/>
      <x:c r="K332" s="17"/>
      <x:c r="L332" s="17"/>
      <x:c r="M332" s="17"/>
      <x:c r="N332" s="12" t="str">
        <x:v>BV11-02-jamabandi.png</x:v>
      </x:c>
      <x:c r="O332" s="12" t="str">
        <x:v>clear</x:v>
      </x:c>
    </x:row>
    <x:row r="333" ht="60" customHeight="1">
      <x:c r="A333" s="12" t="str">
        <x:v>BV11</x:v>
      </x:c>
      <x:c r="B333" s="12" t="str">
        <x:v>BV11-D2</x:v>
      </x:c>
      <x:c r="C333" s="12" t="str">
        <x:v>mauza</x:v>
      </x:c>
      <x:c r="D333" s="12" t="str">
        <x:v>Extract</x:v>
      </x:c>
      <x:c r="E333" s="13" t="str">
        <x:v>नवदीप डेमो मौजा</x:v>
      </x:c>
      <x:c r="F333" s="14" t="n">
        <x:v>1</x:v>
      </x:c>
      <x:c r="G333" s="12" t="str">
        <x:v>मौजा (काल्पनिक गाँव): नवदीप डेमो मौजा</x:v>
      </x:c>
      <x:c r="H333" s="15"/>
      <x:c r="I333" s="16"/>
      <x:c r="J333" s="17"/>
      <x:c r="K333" s="17"/>
      <x:c r="L333" s="17"/>
      <x:c r="M333" s="17"/>
      <x:c r="N333" s="12" t="str">
        <x:v>BV11-02-jamabandi.png</x:v>
      </x:c>
      <x:c r="O333" s="12" t="str">
        <x:v>clear</x:v>
      </x:c>
    </x:row>
    <x:row r="334" ht="60" customHeight="1">
      <x:c r="A334" s="12" t="str">
        <x:v>BV11</x:v>
      </x:c>
      <x:c r="B334" s="12" t="str">
        <x:v>BV11-D2</x:v>
      </x:c>
      <x:c r="C334" s="12" t="str">
        <x:v>thana</x:v>
      </x:c>
      <x:c r="D334" s="12" t="str">
        <x:v>Omit</x:v>
      </x:c>
      <x:c r="E334" s="13"/>
      <x:c r="F334" s="14"/>
      <x:c r="G334" s="12"/>
      <x:c r="H334" s="15"/>
      <x:c r="I334" s="16"/>
      <x:c r="J334" s="17"/>
      <x:c r="K334" s="17"/>
      <x:c r="L334" s="17"/>
      <x:c r="M334" s="17"/>
      <x:c r="N334" s="12" t="str">
        <x:v>BV11-02-jamabandi.png</x:v>
      </x:c>
      <x:c r="O334" s="12" t="str">
        <x:v>Not stated in this file</x:v>
      </x:c>
    </x:row>
    <x:row r="335" ht="60" customHeight="1">
      <x:c r="A335" s="12" t="str">
        <x:v>BV11</x:v>
      </x:c>
      <x:c r="B335" s="12" t="str">
        <x:v>BV11-D2</x:v>
      </x:c>
      <x:c r="C335" s="12" t="str">
        <x:v>khata</x:v>
      </x:c>
      <x:c r="D335" s="12" t="str">
        <x:v>Extract</x:v>
      </x:c>
      <x:c r="E335" s="13" t="str">
        <x:v>००८१</x:v>
      </x:c>
      <x:c r="F335" s="14" t="n">
        <x:v>1</x:v>
      </x:c>
      <x:c r="G335" s="12" t="str">
        <x:v>खाता: ००८१</x:v>
      </x:c>
      <x:c r="H335" s="15"/>
      <x:c r="I335" s="16"/>
      <x:c r="J335" s="17"/>
      <x:c r="K335" s="17"/>
      <x:c r="L335" s="17"/>
      <x:c r="M335" s="17"/>
      <x:c r="N335" s="12" t="str">
        <x:v>BV11-02-jamabandi.png</x:v>
      </x:c>
      <x:c r="O335" s="12" t="str">
        <x:v>clear</x:v>
      </x:c>
    </x:row>
    <x:row r="336" ht="60" customHeight="1">
      <x:c r="A336" s="12" t="str">
        <x:v>BV11</x:v>
      </x:c>
      <x:c r="B336" s="12" t="str">
        <x:v>BV11-D2</x:v>
      </x:c>
      <x:c r="C336" s="12" t="str">
        <x:v>khesra</x:v>
      </x:c>
      <x:c r="D336" s="12" t="str">
        <x:v>Extract</x:v>
      </x:c>
      <x:c r="E336" s="13" t="str">
        <x:v>०२४९</x:v>
      </x:c>
      <x:c r="F336" s="14" t="n">
        <x:v>1</x:v>
      </x:c>
      <x:c r="G336" s="12" t="str">
        <x:v>खेसरा: ०२४९</x:v>
      </x:c>
      <x:c r="H336" s="15"/>
      <x:c r="I336" s="16"/>
      <x:c r="J336" s="17"/>
      <x:c r="K336" s="17"/>
      <x:c r="L336" s="17"/>
      <x:c r="M336" s="17"/>
      <x:c r="N336" s="12" t="str">
        <x:v>BV11-02-jamabandi.png</x:v>
      </x:c>
      <x:c r="O336" s="12" t="str">
        <x:v>clear</x:v>
      </x:c>
    </x:row>
    <x:row r="337" ht="60" customHeight="1">
      <x:c r="A337" s="12" t="str">
        <x:v>BV11</x:v>
      </x:c>
      <x:c r="B337" s="12" t="str">
        <x:v>BV11-D2</x:v>
      </x:c>
      <x:c r="C337" s="12" t="str">
        <x:v>jamabandi</x:v>
      </x:c>
      <x:c r="D337" s="12" t="str">
        <x:v>Extract</x:v>
      </x:c>
      <x:c r="E337" s="13" t="str">
        <x:v>डेमो-जमाबंदी-११११</x:v>
      </x:c>
      <x:c r="F337" s="14" t="n">
        <x:v>1</x:v>
      </x:c>
      <x:c r="G337" s="12" t="str">
        <x:v>जमाबंदी संदर्भ: डेमो-जमाबंदी-११११</x:v>
      </x:c>
      <x:c r="H337" s="15"/>
      <x:c r="I337" s="16"/>
      <x:c r="J337" s="17"/>
      <x:c r="K337" s="17"/>
      <x:c r="L337" s="17"/>
      <x:c r="M337" s="17"/>
      <x:c r="N337" s="12" t="str">
        <x:v>BV11-02-jamabandi.png</x:v>
      </x:c>
      <x:c r="O337" s="12" t="str">
        <x:v>clear</x:v>
      </x:c>
    </x:row>
    <x:row r="338" ht="60" customHeight="1">
      <x:c r="A338" s="12" t="str">
        <x:v>BV11</x:v>
      </x:c>
      <x:c r="B338" s="12" t="str">
        <x:v>BV11-D2</x:v>
      </x:c>
      <x:c r="C338" s="12" t="str">
        <x:v>area</x:v>
      </x:c>
      <x:c r="D338" s="12" t="str">
        <x:v>Extract</x:v>
      </x:c>
      <x:c r="E338" s="13" t="str">
        <x:v>२</x:v>
      </x:c>
      <x:c r="F338" s="14" t="n">
        <x:v>1</x:v>
      </x:c>
      <x:c r="G338" s="12" t="str">
        <x:v>रकबा: २</x:v>
      </x:c>
      <x:c r="H338" s="15"/>
      <x:c r="I338" s="16"/>
      <x:c r="J338" s="17"/>
      <x:c r="K338" s="17"/>
      <x:c r="L338" s="17"/>
      <x:c r="M338" s="17"/>
      <x:c r="N338" s="12" t="str">
        <x:v>BV11-02-jamabandi.png</x:v>
      </x:c>
      <x:c r="O338" s="12" t="str">
        <x:v>clear</x:v>
      </x:c>
    </x:row>
    <x:row r="339" ht="60" customHeight="1">
      <x:c r="A339" s="12" t="str">
        <x:v>BV11</x:v>
      </x:c>
      <x:c r="B339" s="12" t="str">
        <x:v>BV11-D2</x:v>
      </x:c>
      <x:c r="C339" s="12" t="str">
        <x:v>areaUnit</x:v>
      </x:c>
      <x:c r="D339" s="12" t="str">
        <x:v>Extract</x:v>
      </x:c>
      <x:c r="E339" s="13" t="str">
        <x:v>कट्ठा</x:v>
      </x:c>
      <x:c r="F339" s="14" t="n">
        <x:v>1</x:v>
      </x:c>
      <x:c r="G339" s="12" t="str">
        <x:v>रकबा इकाई: कट्ठा</x:v>
      </x:c>
      <x:c r="H339" s="15"/>
      <x:c r="I339" s="16"/>
      <x:c r="J339" s="17"/>
      <x:c r="K339" s="17"/>
      <x:c r="L339" s="17"/>
      <x:c r="M339" s="17"/>
      <x:c r="N339" s="12" t="str">
        <x:v>BV11-02-jamabandi.png</x:v>
      </x:c>
      <x:c r="O339" s="12" t="str">
        <x:v>clear</x:v>
      </x:c>
    </x:row>
    <x:row r="340" ht="60" customHeight="1">
      <x:c r="A340" s="12" t="str">
        <x:v>BV11</x:v>
      </x:c>
      <x:c r="B340" s="12" t="str">
        <x:v>BV11-D2</x:v>
      </x:c>
      <x:c r="C340" s="12" t="str">
        <x:v>date</x:v>
      </x:c>
      <x:c r="D340" s="12" t="str">
        <x:v>Extract</x:v>
      </x:c>
      <x:c r="E340" s="13" t="str">
        <x:v>2025-07-03</x:v>
      </x:c>
      <x:c r="F340" s="14" t="n">
        <x:v>1</x:v>
      </x:c>
      <x:c r="G340" s="12" t="str">
        <x:v>दस्तावेज की तारीख: 2025-07-03</x:v>
      </x:c>
      <x:c r="H340" s="15"/>
      <x:c r="I340" s="16"/>
      <x:c r="J340" s="17"/>
      <x:c r="K340" s="17"/>
      <x:c r="L340" s="17"/>
      <x:c r="M340" s="17"/>
      <x:c r="N340" s="12" t="str">
        <x:v>BV11-02-jamabandi.png</x:v>
      </x:c>
      <x:c r="O340" s="12" t="str">
        <x:v>clear</x:v>
      </x:c>
    </x:row>
    <x:row r="341" ht="60" customHeight="1">
      <x:c r="A341" s="12" t="str">
        <x:v>BV11</x:v>
      </x:c>
      <x:c r="B341" s="12" t="str">
        <x:v>BV11-D2</x:v>
      </x:c>
      <x:c r="C341" s="12" t="str">
        <x:v>mutationStatus</x:v>
      </x:c>
      <x:c r="D341" s="12" t="str">
        <x:v>Omit</x:v>
      </x:c>
      <x:c r="E341" s="13"/>
      <x:c r="F341" s="14"/>
      <x:c r="G341" s="12"/>
      <x:c r="H341" s="15"/>
      <x:c r="I341" s="16"/>
      <x:c r="J341" s="17"/>
      <x:c r="K341" s="17"/>
      <x:c r="L341" s="17"/>
      <x:c r="M341" s="17"/>
      <x:c r="N341" s="12" t="str">
        <x:v>BV11-02-jamabandi.png</x:v>
      </x:c>
      <x:c r="O341" s="12" t="str">
        <x:v>Not stated in this file</x:v>
      </x:c>
    </x:row>
    <x:row r="342" ht="60" customHeight="1">
      <x:c r="A342" s="12" t="str">
        <x:v>BV11</x:v>
      </x:c>
      <x:c r="B342" s="12" t="str">
        <x:v>BV11-D2</x:v>
      </x:c>
      <x:c r="C342" s="12" t="str">
        <x:v>mortgage</x:v>
      </x:c>
      <x:c r="D342" s="12" t="str">
        <x:v>Omit</x:v>
      </x:c>
      <x:c r="E342" s="13"/>
      <x:c r="F342" s="14"/>
      <x:c r="G342" s="12"/>
      <x:c r="H342" s="15"/>
      <x:c r="I342" s="16"/>
      <x:c r="J342" s="17"/>
      <x:c r="K342" s="17"/>
      <x:c r="L342" s="17"/>
      <x:c r="M342" s="17"/>
      <x:c r="N342" s="12" t="str">
        <x:v>BV11-02-jamabandi.png</x:v>
      </x:c>
      <x:c r="O342" s="12" t="str">
        <x:v>Not stated in this file</x:v>
      </x:c>
    </x:row>
    <x:row r="343" ht="60" customHeight="1">
      <x:c r="A343" s="12" t="str">
        <x:v>BV11</x:v>
      </x:c>
      <x:c r="B343" s="12" t="str">
        <x:v>BV11-D2</x:v>
      </x:c>
      <x:c r="C343" s="12" t="str">
        <x:v>boundaries</x:v>
      </x:c>
      <x:c r="D343" s="12" t="str">
        <x:v>Omit</x:v>
      </x:c>
      <x:c r="E343" s="13"/>
      <x:c r="F343" s="14"/>
      <x:c r="G343" s="12"/>
      <x:c r="H343" s="15"/>
      <x:c r="I343" s="16"/>
      <x:c r="J343" s="17"/>
      <x:c r="K343" s="17"/>
      <x:c r="L343" s="17"/>
      <x:c r="M343" s="17"/>
      <x:c r="N343" s="12" t="str">
        <x:v>BV11-02-jamabandi.png</x:v>
      </x:c>
      <x:c r="O343" s="12" t="str">
        <x:v>Not stated in this file</x:v>
      </x:c>
    </x:row>
    <x:row r="344" ht="60" customHeight="1">
      <x:c r="A344" s="18" t="str">
        <x:v>BV12</x:v>
      </x:c>
      <x:c r="B344" s="18" t="str">
        <x:v>BV12-D1</x:v>
      </x:c>
      <x:c r="C344" s="18" t="str">
        <x:v>owner</x:v>
      </x:c>
      <x:c r="D344" s="18" t="str">
        <x:v>Omit</x:v>
      </x:c>
      <x:c r="E344" s="19"/>
      <x:c r="F344" s="20"/>
      <x:c r="G344" s="18"/>
      <x:c r="H344" s="21"/>
      <x:c r="I344" s="22"/>
      <x:c r="J344" s="23"/>
      <x:c r="K344" s="23"/>
      <x:c r="L344" s="23"/>
      <x:c r="M344" s="23"/>
      <x:c r="N344" s="18" t="str">
        <x:v>BV12-01-sale-deed.pdf</x:v>
      </x:c>
      <x:c r="O344" s="18" t="str">
        <x:v>Not stated in this file</x:v>
      </x:c>
    </x:row>
    <x:row r="345" ht="60" customHeight="1">
      <x:c r="A345" s="12" t="str">
        <x:v>BV12</x:v>
      </x:c>
      <x:c r="B345" s="12" t="str">
        <x:v>BV12-D1</x:v>
      </x:c>
      <x:c r="C345" s="12" t="str">
        <x:v>seller</x:v>
      </x:c>
      <x:c r="D345" s="12" t="str">
        <x:v>Extract</x:v>
      </x:c>
      <x:c r="E345" s="13" t="str">
        <x:v>Raghav Demo</x:v>
      </x:c>
      <x:c r="F345" s="14" t="n">
        <x:v>1</x:v>
      </x:c>
      <x:c r="G345" s="12" t="str">
        <x:v>विक्रेता / Seller: Raghav Demo</x:v>
      </x:c>
      <x:c r="H345" s="15"/>
      <x:c r="I345" s="16"/>
      <x:c r="J345" s="17"/>
      <x:c r="K345" s="17"/>
      <x:c r="L345" s="17"/>
      <x:c r="M345" s="17"/>
      <x:c r="N345" s="12" t="str">
        <x:v>BV12-01-sale-deed.pdf</x:v>
      </x:c>
      <x:c r="O345" s="12" t="str">
        <x:v>clear</x:v>
      </x:c>
    </x:row>
    <x:row r="346" ht="60" customHeight="1">
      <x:c r="A346" s="12" t="str">
        <x:v>BV12</x:v>
      </x:c>
      <x:c r="B346" s="12" t="str">
        <x:v>BV12-D1</x:v>
      </x:c>
      <x:c r="C346" s="12" t="str">
        <x:v>buyer</x:v>
      </x:c>
      <x:c r="D346" s="12" t="str">
        <x:v>Extract</x:v>
      </x:c>
      <x:c r="E346" s="13" t="str">
        <x:v>Meera Demo</x:v>
      </x:c>
      <x:c r="F346" s="14" t="n">
        <x:v>1</x:v>
      </x:c>
      <x:c r="G346" s="12" t="str">
        <x:v>क्रेता / Buyer: Meera Demo</x:v>
      </x:c>
      <x:c r="H346" s="15"/>
      <x:c r="I346" s="16"/>
      <x:c r="J346" s="17"/>
      <x:c r="K346" s="17"/>
      <x:c r="L346" s="17"/>
      <x:c r="M346" s="17"/>
      <x:c r="N346" s="12" t="str">
        <x:v>BV12-01-sale-deed.pdf</x:v>
      </x:c>
      <x:c r="O346" s="12" t="str">
        <x:v>clear</x:v>
      </x:c>
    </x:row>
    <x:row r="347" ht="60" customHeight="1">
      <x:c r="A347" s="12" t="str">
        <x:v>BV12</x:v>
      </x:c>
      <x:c r="B347" s="12" t="str">
        <x:v>BV12-D1</x:v>
      </x:c>
      <x:c r="C347" s="12" t="str">
        <x:v>district</x:v>
      </x:c>
      <x:c r="D347" s="12" t="str">
        <x:v>Extract</x:v>
      </x:c>
      <x:c r="E347" s="13" t="str">
        <x:v>Vaishali</x:v>
      </x:c>
      <x:c r="F347" s="14" t="n">
        <x:v>1</x:v>
      </x:c>
      <x:c r="G347" s="12" t="str">
        <x:v>जिला / District: Vaishali</x:v>
      </x:c>
      <x:c r="H347" s="15"/>
      <x:c r="I347" s="16"/>
      <x:c r="J347" s="17"/>
      <x:c r="K347" s="17"/>
      <x:c r="L347" s="17"/>
      <x:c r="M347" s="17"/>
      <x:c r="N347" s="12" t="str">
        <x:v>BV12-01-sale-deed.pdf</x:v>
      </x:c>
      <x:c r="O347" s="12" t="str">
        <x:v>clear</x:v>
      </x:c>
    </x:row>
    <x:row r="348" ht="60" customHeight="1">
      <x:c r="A348" s="12" t="str">
        <x:v>BV12</x:v>
      </x:c>
      <x:c r="B348" s="12" t="str">
        <x:v>BV12-D1</x:v>
      </x:c>
      <x:c r="C348" s="12" t="str">
        <x:v>circle</x:v>
      </x:c>
      <x:c r="D348" s="12" t="str">
        <x:v>Extract</x:v>
      </x:c>
      <x:c r="E348" s="13" t="str">
        <x:v>Hajipur</x:v>
      </x:c>
      <x:c r="F348" s="14" t="n">
        <x:v>1</x:v>
      </x:c>
      <x:c r="G348" s="12" t="str">
        <x:v>अंचल / Circle: Hajipur</x:v>
      </x:c>
      <x:c r="H348" s="15"/>
      <x:c r="I348" s="16"/>
      <x:c r="J348" s="17"/>
      <x:c r="K348" s="17"/>
      <x:c r="L348" s="17"/>
      <x:c r="M348" s="17"/>
      <x:c r="N348" s="12" t="str">
        <x:v>BV12-01-sale-deed.pdf</x:v>
      </x:c>
      <x:c r="O348" s="12" t="str">
        <x:v>clear</x:v>
      </x:c>
    </x:row>
    <x:row r="349" ht="60" customHeight="1">
      <x:c r="A349" s="12" t="str">
        <x:v>BV12</x:v>
      </x:c>
      <x:c r="B349" s="12" t="str">
        <x:v>BV12-D1</x:v>
      </x:c>
      <x:c r="C349" s="12" t="str">
        <x:v>mauza</x:v>
      </x:c>
      <x:c r="D349" s="12" t="str">
        <x:v>Extract</x:v>
      </x:c>
      <x:c r="E349" s="13" t="str">
        <x:v>Srijan Demo Mauza</x:v>
      </x:c>
      <x:c r="F349" s="14" t="n">
        <x:v>1</x:v>
      </x:c>
      <x:c r="G349" s="12" t="str">
        <x:v>मौजा / Fictional village: Srijan Demo Mauza</x:v>
      </x:c>
      <x:c r="H349" s="15"/>
      <x:c r="I349" s="16"/>
      <x:c r="J349" s="17"/>
      <x:c r="K349" s="17"/>
      <x:c r="L349" s="17"/>
      <x:c r="M349" s="17"/>
      <x:c r="N349" s="12" t="str">
        <x:v>BV12-01-sale-deed.pdf</x:v>
      </x:c>
      <x:c r="O349" s="12" t="str">
        <x:v>clear</x:v>
      </x:c>
    </x:row>
    <x:row r="350" ht="60" customHeight="1">
      <x:c r="A350" s="12" t="str">
        <x:v>BV12</x:v>
      </x:c>
      <x:c r="B350" s="12" t="str">
        <x:v>BV12-D1</x:v>
      </x:c>
      <x:c r="C350" s="12" t="str">
        <x:v>thana</x:v>
      </x:c>
      <x:c r="D350" s="12" t="str">
        <x:v>Omit</x:v>
      </x:c>
      <x:c r="E350" s="13"/>
      <x:c r="F350" s="14"/>
      <x:c r="G350" s="12"/>
      <x:c r="H350" s="15"/>
      <x:c r="I350" s="16"/>
      <x:c r="J350" s="17"/>
      <x:c r="K350" s="17"/>
      <x:c r="L350" s="17"/>
      <x:c r="M350" s="17"/>
      <x:c r="N350" s="12" t="str">
        <x:v>BV12-01-sale-deed.pdf</x:v>
      </x:c>
      <x:c r="O350" s="12" t="str">
        <x:v>Not stated in this file</x:v>
      </x:c>
    </x:row>
    <x:row r="351" ht="60" customHeight="1">
      <x:c r="A351" s="12" t="str">
        <x:v>BV12</x:v>
      </x:c>
      <x:c r="B351" s="12" t="str">
        <x:v>BV12-D1</x:v>
      </x:c>
      <x:c r="C351" s="12" t="str">
        <x:v>khata</x:v>
      </x:c>
      <x:c r="D351" s="12" t="str">
        <x:v>Extract</x:v>
      </x:c>
      <x:c r="E351" s="24" t="str">
        <x:v>0056</x:v>
      </x:c>
      <x:c r="F351" s="14" t="n">
        <x:v>1</x:v>
      </x:c>
      <x:c r="G351" s="12" t="str">
        <x:v>खाता / Khata: 0056</x:v>
      </x:c>
      <x:c r="H351" s="15"/>
      <x:c r="I351" s="16"/>
      <x:c r="J351" s="17"/>
      <x:c r="K351" s="17"/>
      <x:c r="L351" s="17"/>
      <x:c r="M351" s="17"/>
      <x:c r="N351" s="12" t="str">
        <x:v>BV12-01-sale-deed.pdf</x:v>
      </x:c>
      <x:c r="O351" s="12" t="str">
        <x:v>clear</x:v>
      </x:c>
    </x:row>
    <x:row r="352" ht="60" customHeight="1">
      <x:c r="A352" s="12" t="str">
        <x:v>BV12</x:v>
      </x:c>
      <x:c r="B352" s="12" t="str">
        <x:v>BV12-D1</x:v>
      </x:c>
      <x:c r="C352" s="12" t="str">
        <x:v>khesra</x:v>
      </x:c>
      <x:c r="D352" s="12" t="str">
        <x:v>Extract</x:v>
      </x:c>
      <x:c r="E352" s="24" t="str">
        <x:v>0308</x:v>
      </x:c>
      <x:c r="F352" s="14" t="n">
        <x:v>1</x:v>
      </x:c>
      <x:c r="G352" s="12" t="str">
        <x:v>खेसरा / Khesra: 0308</x:v>
      </x:c>
      <x:c r="H352" s="15"/>
      <x:c r="I352" s="16"/>
      <x:c r="J352" s="17"/>
      <x:c r="K352" s="17"/>
      <x:c r="L352" s="17"/>
      <x:c r="M352" s="17"/>
      <x:c r="N352" s="12" t="str">
        <x:v>BV12-01-sale-deed.pdf</x:v>
      </x:c>
      <x:c r="O352" s="12" t="str">
        <x:v>clear</x:v>
      </x:c>
    </x:row>
    <x:row r="353" ht="60" customHeight="1">
      <x:c r="A353" s="12" t="str">
        <x:v>BV12</x:v>
      </x:c>
      <x:c r="B353" s="12" t="str">
        <x:v>BV12-D1</x:v>
      </x:c>
      <x:c r="C353" s="12" t="str">
        <x:v>jamabandi</x:v>
      </x:c>
      <x:c r="D353" s="12" t="str">
        <x:v>Omit</x:v>
      </x:c>
      <x:c r="E353" s="13"/>
      <x:c r="F353" s="14"/>
      <x:c r="G353" s="12"/>
      <x:c r="H353" s="15"/>
      <x:c r="I353" s="16"/>
      <x:c r="J353" s="17"/>
      <x:c r="K353" s="17"/>
      <x:c r="L353" s="17"/>
      <x:c r="M353" s="17"/>
      <x:c r="N353" s="12" t="str">
        <x:v>BV12-01-sale-deed.pdf</x:v>
      </x:c>
      <x:c r="O353" s="12" t="str">
        <x:v>Not stated in this file</x:v>
      </x:c>
    </x:row>
    <x:row r="354" ht="60" customHeight="1">
      <x:c r="A354" s="12" t="str">
        <x:v>BV12</x:v>
      </x:c>
      <x:c r="B354" s="12" t="str">
        <x:v>BV12-D1</x:v>
      </x:c>
      <x:c r="C354" s="12" t="str">
        <x:v>area</x:v>
      </x:c>
      <x:c r="D354" s="12" t="str">
        <x:v>Extract</x:v>
      </x:c>
      <x:c r="E354" s="13" t="str">
        <x:v>16</x:v>
      </x:c>
      <x:c r="F354" s="14" t="n">
        <x:v>1</x:v>
      </x:c>
      <x:c r="G354" s="12" t="str">
        <x:v>Area: 16</x:v>
      </x:c>
      <x:c r="H354" s="15"/>
      <x:c r="I354" s="16"/>
      <x:c r="J354" s="17"/>
      <x:c r="K354" s="17"/>
      <x:c r="L354" s="17"/>
      <x:c r="M354" s="17"/>
      <x:c r="N354" s="12" t="str">
        <x:v>BV12-01-sale-deed.pdf</x:v>
      </x:c>
      <x:c r="O354" s="12" t="str">
        <x:v>clear</x:v>
      </x:c>
    </x:row>
    <x:row r="355" ht="60" customHeight="1">
      <x:c r="A355" s="12" t="str">
        <x:v>BV12</x:v>
      </x:c>
      <x:c r="B355" s="12" t="str">
        <x:v>BV12-D1</x:v>
      </x:c>
      <x:c r="C355" s="12" t="str">
        <x:v>areaUnit</x:v>
      </x:c>
      <x:c r="D355" s="12" t="str">
        <x:v>Extract</x:v>
      </x:c>
      <x:c r="E355" s="13" t="str">
        <x:v>decimal</x:v>
      </x:c>
      <x:c r="F355" s="14" t="n">
        <x:v>1</x:v>
      </x:c>
      <x:c r="G355" s="12" t="str">
        <x:v>Area unit: decimal</x:v>
      </x:c>
      <x:c r="H355" s="15"/>
      <x:c r="I355" s="16"/>
      <x:c r="J355" s="17"/>
      <x:c r="K355" s="17"/>
      <x:c r="L355" s="17"/>
      <x:c r="M355" s="17"/>
      <x:c r="N355" s="12" t="str">
        <x:v>BV12-01-sale-deed.pdf</x:v>
      </x:c>
      <x:c r="O355" s="12" t="str">
        <x:v>clear</x:v>
      </x:c>
    </x:row>
    <x:row r="356" ht="60" customHeight="1">
      <x:c r="A356" s="12" t="str">
        <x:v>BV12</x:v>
      </x:c>
      <x:c r="B356" s="12" t="str">
        <x:v>BV12-D1</x:v>
      </x:c>
      <x:c r="C356" s="12" t="str">
        <x:v>date</x:v>
      </x:c>
      <x:c r="D356" s="12" t="str">
        <x:v>Extract</x:v>
      </x:c>
      <x:c r="E356" s="13" t="str">
        <x:v>2025-09-10</x:v>
      </x:c>
      <x:c r="F356" s="14" t="n">
        <x:v>1</x:v>
      </x:c>
      <x:c r="G356" s="12" t="str">
        <x:v>Document date: 2025-09-10</x:v>
      </x:c>
      <x:c r="H356" s="15"/>
      <x:c r="I356" s="16"/>
      <x:c r="J356" s="17"/>
      <x:c r="K356" s="17"/>
      <x:c r="L356" s="17"/>
      <x:c r="M356" s="17"/>
      <x:c r="N356" s="12" t="str">
        <x:v>BV12-01-sale-deed.pdf</x:v>
      </x:c>
      <x:c r="O356" s="12" t="str">
        <x:v>clear</x:v>
      </x:c>
    </x:row>
    <x:row r="357" ht="60" customHeight="1">
      <x:c r="A357" s="12" t="str">
        <x:v>BV12</x:v>
      </x:c>
      <x:c r="B357" s="12" t="str">
        <x:v>BV12-D1</x:v>
      </x:c>
      <x:c r="C357" s="12" t="str">
        <x:v>mutationStatus</x:v>
      </x:c>
      <x:c r="D357" s="12" t="str">
        <x:v>Omit</x:v>
      </x:c>
      <x:c r="E357" s="13"/>
      <x:c r="F357" s="14"/>
      <x:c r="G357" s="12"/>
      <x:c r="H357" s="15"/>
      <x:c r="I357" s="16"/>
      <x:c r="J357" s="17"/>
      <x:c r="K357" s="17"/>
      <x:c r="L357" s="17"/>
      <x:c r="M357" s="17"/>
      <x:c r="N357" s="12" t="str">
        <x:v>BV12-01-sale-deed.pdf</x:v>
      </x:c>
      <x:c r="O357" s="12" t="str">
        <x:v>Not stated in this file</x:v>
      </x:c>
    </x:row>
    <x:row r="358" ht="60" customHeight="1">
      <x:c r="A358" s="12" t="str">
        <x:v>BV12</x:v>
      </x:c>
      <x:c r="B358" s="12" t="str">
        <x:v>BV12-D1</x:v>
      </x:c>
      <x:c r="C358" s="12" t="str">
        <x:v>mortgage</x:v>
      </x:c>
      <x:c r="D358" s="12" t="str">
        <x:v>Omit</x:v>
      </x:c>
      <x:c r="E358" s="13"/>
      <x:c r="F358" s="14"/>
      <x:c r="G358" s="12"/>
      <x:c r="H358" s="15"/>
      <x:c r="I358" s="16"/>
      <x:c r="J358" s="17"/>
      <x:c r="K358" s="17"/>
      <x:c r="L358" s="17"/>
      <x:c r="M358" s="17"/>
      <x:c r="N358" s="12" t="str">
        <x:v>BV12-01-sale-deed.pdf</x:v>
      </x:c>
      <x:c r="O358" s="12" t="str">
        <x:v>Not stated in this file</x:v>
      </x:c>
    </x:row>
    <x:row r="359" ht="60" customHeight="1">
      <x:c r="A359" s="12" t="str">
        <x:v>BV12</x:v>
      </x:c>
      <x:c r="B359" s="12" t="str">
        <x:v>BV12-D1</x:v>
      </x:c>
      <x:c r="C359" s="12" t="str">
        <x:v>boundaries</x:v>
      </x:c>
      <x:c r="D359" s="12" t="str">
        <x:v>Omit</x:v>
      </x:c>
      <x:c r="E359" s="13"/>
      <x:c r="F359" s="14"/>
      <x:c r="G359" s="12"/>
      <x:c r="H359" s="15"/>
      <x:c r="I359" s="16"/>
      <x:c r="J359" s="17"/>
      <x:c r="K359" s="17"/>
      <x:c r="L359" s="17"/>
      <x:c r="M359" s="17"/>
      <x:c r="N359" s="12" t="str">
        <x:v>BV12-01-sale-deed.pdf</x:v>
      </x:c>
      <x:c r="O359" s="12" t="str">
        <x:v>Not stated in this file</x:v>
      </x:c>
    </x:row>
    <x:row r="360" ht="60" customHeight="1">
      <x:c r="A360" s="18" t="str">
        <x:v>BV12</x:v>
      </x:c>
      <x:c r="B360" s="18" t="str">
        <x:v>BV12-D2</x:v>
      </x:c>
      <x:c r="C360" s="18" t="str">
        <x:v>owner</x:v>
      </x:c>
      <x:c r="D360" s="18" t="str">
        <x:v>Extract</x:v>
      </x:c>
      <x:c r="E360" s="19" t="str">
        <x:v>Raghav Demo</x:v>
      </x:c>
      <x:c r="F360" s="20" t="n">
        <x:v>1</x:v>
      </x:c>
      <x:c r="G360" s="18" t="str">
        <x:v>दर्ज रैयत / Recorded owner: Raghav Demo</x:v>
      </x:c>
      <x:c r="H360" s="21"/>
      <x:c r="I360" s="22"/>
      <x:c r="J360" s="23"/>
      <x:c r="K360" s="23"/>
      <x:c r="L360" s="23"/>
      <x:c r="M360" s="23"/>
      <x:c r="N360" s="18" t="str">
        <x:v>BV12-02-jamabandi.pdf</x:v>
      </x:c>
      <x:c r="O360" s="18" t="str">
        <x:v>clear</x:v>
      </x:c>
    </x:row>
    <x:row r="361" ht="60" customHeight="1">
      <x:c r="A361" s="12" t="str">
        <x:v>BV12</x:v>
      </x:c>
      <x:c r="B361" s="12" t="str">
        <x:v>BV12-D2</x:v>
      </x:c>
      <x:c r="C361" s="12" t="str">
        <x:v>seller</x:v>
      </x:c>
      <x:c r="D361" s="12" t="str">
        <x:v>Omit</x:v>
      </x:c>
      <x:c r="E361" s="13"/>
      <x:c r="F361" s="14"/>
      <x:c r="G361" s="12"/>
      <x:c r="H361" s="15"/>
      <x:c r="I361" s="16"/>
      <x:c r="J361" s="17"/>
      <x:c r="K361" s="17"/>
      <x:c r="L361" s="17"/>
      <x:c r="M361" s="17"/>
      <x:c r="N361" s="12" t="str">
        <x:v>BV12-02-jamabandi.pdf</x:v>
      </x:c>
      <x:c r="O361" s="12" t="str">
        <x:v>Not stated in this file</x:v>
      </x:c>
    </x:row>
    <x:row r="362" ht="60" customHeight="1">
      <x:c r="A362" s="12" t="str">
        <x:v>BV12</x:v>
      </x:c>
      <x:c r="B362" s="12" t="str">
        <x:v>BV12-D2</x:v>
      </x:c>
      <x:c r="C362" s="12" t="str">
        <x:v>buyer</x:v>
      </x:c>
      <x:c r="D362" s="12" t="str">
        <x:v>Omit</x:v>
      </x:c>
      <x:c r="E362" s="13"/>
      <x:c r="F362" s="14"/>
      <x:c r="G362" s="12"/>
      <x:c r="H362" s="15"/>
      <x:c r="I362" s="16"/>
      <x:c r="J362" s="17"/>
      <x:c r="K362" s="17"/>
      <x:c r="L362" s="17"/>
      <x:c r="M362" s="17"/>
      <x:c r="N362" s="12" t="str">
        <x:v>BV12-02-jamabandi.pdf</x:v>
      </x:c>
      <x:c r="O362" s="12" t="str">
        <x:v>Not stated in this file</x:v>
      </x:c>
    </x:row>
    <x:row r="363" ht="60" customHeight="1">
      <x:c r="A363" s="12" t="str">
        <x:v>BV12</x:v>
      </x:c>
      <x:c r="B363" s="12" t="str">
        <x:v>BV12-D2</x:v>
      </x:c>
      <x:c r="C363" s="12" t="str">
        <x:v>district</x:v>
      </x:c>
      <x:c r="D363" s="12" t="str">
        <x:v>Extract</x:v>
      </x:c>
      <x:c r="E363" s="13" t="str">
        <x:v>Vaishali</x:v>
      </x:c>
      <x:c r="F363" s="14" t="n">
        <x:v>1</x:v>
      </x:c>
      <x:c r="G363" s="12" t="str">
        <x:v>जिला / District: Vaishali</x:v>
      </x:c>
      <x:c r="H363" s="15"/>
      <x:c r="I363" s="16"/>
      <x:c r="J363" s="17"/>
      <x:c r="K363" s="17"/>
      <x:c r="L363" s="17"/>
      <x:c r="M363" s="17"/>
      <x:c r="N363" s="12" t="str">
        <x:v>BV12-02-jamabandi.pdf</x:v>
      </x:c>
      <x:c r="O363" s="12" t="str">
        <x:v>clear</x:v>
      </x:c>
    </x:row>
    <x:row r="364" ht="60" customHeight="1">
      <x:c r="A364" s="12" t="str">
        <x:v>BV12</x:v>
      </x:c>
      <x:c r="B364" s="12" t="str">
        <x:v>BV12-D2</x:v>
      </x:c>
      <x:c r="C364" s="12" t="str">
        <x:v>circle</x:v>
      </x:c>
      <x:c r="D364" s="12" t="str">
        <x:v>Extract</x:v>
      </x:c>
      <x:c r="E364" s="13" t="str">
        <x:v>Hajipur</x:v>
      </x:c>
      <x:c r="F364" s="14" t="n">
        <x:v>1</x:v>
      </x:c>
      <x:c r="G364" s="12" t="str">
        <x:v>अंचल / Circle: Hajipur</x:v>
      </x:c>
      <x:c r="H364" s="15"/>
      <x:c r="I364" s="16"/>
      <x:c r="J364" s="17"/>
      <x:c r="K364" s="17"/>
      <x:c r="L364" s="17"/>
      <x:c r="M364" s="17"/>
      <x:c r="N364" s="12" t="str">
        <x:v>BV12-02-jamabandi.pdf</x:v>
      </x:c>
      <x:c r="O364" s="12" t="str">
        <x:v>clear</x:v>
      </x:c>
    </x:row>
    <x:row r="365" ht="60" customHeight="1">
      <x:c r="A365" s="12" t="str">
        <x:v>BV12</x:v>
      </x:c>
      <x:c r="B365" s="12" t="str">
        <x:v>BV12-D2</x:v>
      </x:c>
      <x:c r="C365" s="12" t="str">
        <x:v>mauza</x:v>
      </x:c>
      <x:c r="D365" s="12" t="str">
        <x:v>Extract</x:v>
      </x:c>
      <x:c r="E365" s="13" t="str">
        <x:v>Srijan Demo Mauza</x:v>
      </x:c>
      <x:c r="F365" s="14" t="n">
        <x:v>1</x:v>
      </x:c>
      <x:c r="G365" s="12" t="str">
        <x:v>मौजा / Fictional village: Srijan Demo Mauza</x:v>
      </x:c>
      <x:c r="H365" s="15"/>
      <x:c r="I365" s="16"/>
      <x:c r="J365" s="17"/>
      <x:c r="K365" s="17"/>
      <x:c r="L365" s="17"/>
      <x:c r="M365" s="17"/>
      <x:c r="N365" s="12" t="str">
        <x:v>BV12-02-jamabandi.pdf</x:v>
      </x:c>
      <x:c r="O365" s="12" t="str">
        <x:v>clear</x:v>
      </x:c>
    </x:row>
    <x:row r="366" ht="60" customHeight="1">
      <x:c r="A366" s="12" t="str">
        <x:v>BV12</x:v>
      </x:c>
      <x:c r="B366" s="12" t="str">
        <x:v>BV12-D2</x:v>
      </x:c>
      <x:c r="C366" s="12" t="str">
        <x:v>thana</x:v>
      </x:c>
      <x:c r="D366" s="12" t="str">
        <x:v>Omit</x:v>
      </x:c>
      <x:c r="E366" s="13"/>
      <x:c r="F366" s="14"/>
      <x:c r="G366" s="12"/>
      <x:c r="H366" s="15"/>
      <x:c r="I366" s="16"/>
      <x:c r="J366" s="17"/>
      <x:c r="K366" s="17"/>
      <x:c r="L366" s="17"/>
      <x:c r="M366" s="17"/>
      <x:c r="N366" s="12" t="str">
        <x:v>BV12-02-jamabandi.pdf</x:v>
      </x:c>
      <x:c r="O366" s="12" t="str">
        <x:v>Not stated in this file</x:v>
      </x:c>
    </x:row>
    <x:row r="367" ht="60" customHeight="1">
      <x:c r="A367" s="12" t="str">
        <x:v>BV12</x:v>
      </x:c>
      <x:c r="B367" s="12" t="str">
        <x:v>BV12-D2</x:v>
      </x:c>
      <x:c r="C367" s="12" t="str">
        <x:v>khata</x:v>
      </x:c>
      <x:c r="D367" s="12" t="str">
        <x:v>Extract</x:v>
      </x:c>
      <x:c r="E367" s="24" t="str">
        <x:v>0056</x:v>
      </x:c>
      <x:c r="F367" s="14" t="n">
        <x:v>1</x:v>
      </x:c>
      <x:c r="G367" s="12" t="str">
        <x:v>खाता / Khata: 0056</x:v>
      </x:c>
      <x:c r="H367" s="15"/>
      <x:c r="I367" s="16"/>
      <x:c r="J367" s="17"/>
      <x:c r="K367" s="17"/>
      <x:c r="L367" s="17"/>
      <x:c r="M367" s="17"/>
      <x:c r="N367" s="12" t="str">
        <x:v>BV12-02-jamabandi.pdf</x:v>
      </x:c>
      <x:c r="O367" s="12" t="str">
        <x:v>clear</x:v>
      </x:c>
    </x:row>
    <x:row r="368" ht="60" customHeight="1">
      <x:c r="A368" s="12" t="str">
        <x:v>BV12</x:v>
      </x:c>
      <x:c r="B368" s="12" t="str">
        <x:v>BV12-D2</x:v>
      </x:c>
      <x:c r="C368" s="12" t="str">
        <x:v>khesra</x:v>
      </x:c>
      <x:c r="D368" s="12" t="str">
        <x:v>Extract</x:v>
      </x:c>
      <x:c r="E368" s="24" t="str">
        <x:v>0308</x:v>
      </x:c>
      <x:c r="F368" s="14" t="n">
        <x:v>1</x:v>
      </x:c>
      <x:c r="G368" s="12" t="str">
        <x:v>खेसरा / Khesra: 0308</x:v>
      </x:c>
      <x:c r="H368" s="15"/>
      <x:c r="I368" s="16"/>
      <x:c r="J368" s="17"/>
      <x:c r="K368" s="17"/>
      <x:c r="L368" s="17"/>
      <x:c r="M368" s="17"/>
      <x:c r="N368" s="12" t="str">
        <x:v>BV12-02-jamabandi.pdf</x:v>
      </x:c>
      <x:c r="O368" s="12" t="str">
        <x:v>clear</x:v>
      </x:c>
    </x:row>
    <x:row r="369" ht="60" customHeight="1">
      <x:c r="A369" s="12" t="str">
        <x:v>BV12</x:v>
      </x:c>
      <x:c r="B369" s="12" t="str">
        <x:v>BV12-D2</x:v>
      </x:c>
      <x:c r="C369" s="12" t="str">
        <x:v>jamabandi</x:v>
      </x:c>
      <x:c r="D369" s="12" t="str">
        <x:v>Extract</x:v>
      </x:c>
      <x:c r="E369" s="13" t="str">
        <x:v>DEMO-JB-1212</x:v>
      </x:c>
      <x:c r="F369" s="14" t="n">
        <x:v>1</x:v>
      </x:c>
      <x:c r="G369" s="12" t="str">
        <x:v>Jamabandi reference: DEMO-JB-1212</x:v>
      </x:c>
      <x:c r="H369" s="15"/>
      <x:c r="I369" s="16"/>
      <x:c r="J369" s="17"/>
      <x:c r="K369" s="17"/>
      <x:c r="L369" s="17"/>
      <x:c r="M369" s="17"/>
      <x:c r="N369" s="12" t="str">
        <x:v>BV12-02-jamabandi.pdf</x:v>
      </x:c>
      <x:c r="O369" s="12" t="str">
        <x:v>clear</x:v>
      </x:c>
    </x:row>
    <x:row r="370" ht="60" customHeight="1">
      <x:c r="A370" s="12" t="str">
        <x:v>BV12</x:v>
      </x:c>
      <x:c r="B370" s="12" t="str">
        <x:v>BV12-D2</x:v>
      </x:c>
      <x:c r="C370" s="12" t="str">
        <x:v>area</x:v>
      </x:c>
      <x:c r="D370" s="12" t="str">
        <x:v>Extract</x:v>
      </x:c>
      <x:c r="E370" s="13" t="str">
        <x:v>16</x:v>
      </x:c>
      <x:c r="F370" s="14" t="n">
        <x:v>1</x:v>
      </x:c>
      <x:c r="G370" s="12" t="str">
        <x:v>Area: 16</x:v>
      </x:c>
      <x:c r="H370" s="15"/>
      <x:c r="I370" s="16"/>
      <x:c r="J370" s="17"/>
      <x:c r="K370" s="17"/>
      <x:c r="L370" s="17"/>
      <x:c r="M370" s="17"/>
      <x:c r="N370" s="12" t="str">
        <x:v>BV12-02-jamabandi.pdf</x:v>
      </x:c>
      <x:c r="O370" s="12" t="str">
        <x:v>clear</x:v>
      </x:c>
    </x:row>
    <x:row r="371" ht="60" customHeight="1">
      <x:c r="A371" s="12" t="str">
        <x:v>BV12</x:v>
      </x:c>
      <x:c r="B371" s="12" t="str">
        <x:v>BV12-D2</x:v>
      </x:c>
      <x:c r="C371" s="12" t="str">
        <x:v>areaUnit</x:v>
      </x:c>
      <x:c r="D371" s="12" t="str">
        <x:v>Extract</x:v>
      </x:c>
      <x:c r="E371" s="13" t="str">
        <x:v>decimal</x:v>
      </x:c>
      <x:c r="F371" s="14" t="n">
        <x:v>1</x:v>
      </x:c>
      <x:c r="G371" s="12" t="str">
        <x:v>Area unit: decimal</x:v>
      </x:c>
      <x:c r="H371" s="15"/>
      <x:c r="I371" s="16"/>
      <x:c r="J371" s="17"/>
      <x:c r="K371" s="17"/>
      <x:c r="L371" s="17"/>
      <x:c r="M371" s="17"/>
      <x:c r="N371" s="12" t="str">
        <x:v>BV12-02-jamabandi.pdf</x:v>
      </x:c>
      <x:c r="O371" s="12" t="str">
        <x:v>clear</x:v>
      </x:c>
    </x:row>
    <x:row r="372" ht="60" customHeight="1">
      <x:c r="A372" s="12" t="str">
        <x:v>BV12</x:v>
      </x:c>
      <x:c r="B372" s="12" t="str">
        <x:v>BV12-D2</x:v>
      </x:c>
      <x:c r="C372" s="12" t="str">
        <x:v>date</x:v>
      </x:c>
      <x:c r="D372" s="12" t="str">
        <x:v>Extract</x:v>
      </x:c>
      <x:c r="E372" s="13" t="str">
        <x:v>2022-12-01</x:v>
      </x:c>
      <x:c r="F372" s="14" t="n">
        <x:v>1</x:v>
      </x:c>
      <x:c r="G372" s="12" t="str">
        <x:v>Document date: 2022-12-01</x:v>
      </x:c>
      <x:c r="H372" s="15"/>
      <x:c r="I372" s="16"/>
      <x:c r="J372" s="17"/>
      <x:c r="K372" s="17"/>
      <x:c r="L372" s="17"/>
      <x:c r="M372" s="17"/>
      <x:c r="N372" s="12" t="str">
        <x:v>BV12-02-jamabandi.pdf</x:v>
      </x:c>
      <x:c r="O372" s="12" t="str">
        <x:v>clear</x:v>
      </x:c>
    </x:row>
    <x:row r="373" ht="60" customHeight="1">
      <x:c r="A373" s="12" t="str">
        <x:v>BV12</x:v>
      </x:c>
      <x:c r="B373" s="12" t="str">
        <x:v>BV12-D2</x:v>
      </x:c>
      <x:c r="C373" s="12" t="str">
        <x:v>mutationStatus</x:v>
      </x:c>
      <x:c r="D373" s="12" t="str">
        <x:v>Omit</x:v>
      </x:c>
      <x:c r="E373" s="13"/>
      <x:c r="F373" s="14"/>
      <x:c r="G373" s="12"/>
      <x:c r="H373" s="15"/>
      <x:c r="I373" s="16"/>
      <x:c r="J373" s="17"/>
      <x:c r="K373" s="17"/>
      <x:c r="L373" s="17"/>
      <x:c r="M373" s="17"/>
      <x:c r="N373" s="12" t="str">
        <x:v>BV12-02-jamabandi.pdf</x:v>
      </x:c>
      <x:c r="O373" s="12" t="str">
        <x:v>Not stated in this file</x:v>
      </x:c>
    </x:row>
    <x:row r="374" ht="60" customHeight="1">
      <x:c r="A374" s="12" t="str">
        <x:v>BV12</x:v>
      </x:c>
      <x:c r="B374" s="12" t="str">
        <x:v>BV12-D2</x:v>
      </x:c>
      <x:c r="C374" s="12" t="str">
        <x:v>mortgage</x:v>
      </x:c>
      <x:c r="D374" s="12" t="str">
        <x:v>Omit</x:v>
      </x:c>
      <x:c r="E374" s="13"/>
      <x:c r="F374" s="14"/>
      <x:c r="G374" s="12"/>
      <x:c r="H374" s="15"/>
      <x:c r="I374" s="16"/>
      <x:c r="J374" s="17"/>
      <x:c r="K374" s="17"/>
      <x:c r="L374" s="17"/>
      <x:c r="M374" s="17"/>
      <x:c r="N374" s="12" t="str">
        <x:v>BV12-02-jamabandi.pdf</x:v>
      </x:c>
      <x:c r="O374" s="12" t="str">
        <x:v>Not stated in this file</x:v>
      </x:c>
    </x:row>
    <x:row r="375" ht="60" customHeight="1">
      <x:c r="A375" s="12" t="str">
        <x:v>BV12</x:v>
      </x:c>
      <x:c r="B375" s="12" t="str">
        <x:v>BV12-D2</x:v>
      </x:c>
      <x:c r="C375" s="12" t="str">
        <x:v>boundaries</x:v>
      </x:c>
      <x:c r="D375" s="12" t="str">
        <x:v>Omit</x:v>
      </x:c>
      <x:c r="E375" s="13"/>
      <x:c r="F375" s="14"/>
      <x:c r="G375" s="12"/>
      <x:c r="H375" s="15"/>
      <x:c r="I375" s="16"/>
      <x:c r="J375" s="17"/>
      <x:c r="K375" s="17"/>
      <x:c r="L375" s="17"/>
      <x:c r="M375" s="17"/>
      <x:c r="N375" s="12" t="str">
        <x:v>BV12-02-jamabandi.pdf</x:v>
      </x:c>
      <x:c r="O375" s="12" t="str">
        <x:v>Not stated in this file</x:v>
      </x:c>
    </x:row>
    <x:row r="376" ht="60" customHeight="1">
      <x:c r="A376" s="18" t="str">
        <x:v>BV12</x:v>
      </x:c>
      <x:c r="B376" s="18" t="str">
        <x:v>BV12-D3</x:v>
      </x:c>
      <x:c r="C376" s="18" t="str">
        <x:v>owner</x:v>
      </x:c>
      <x:c r="D376" s="18" t="str">
        <x:v>Omit</x:v>
      </x:c>
      <x:c r="E376" s="19"/>
      <x:c r="F376" s="20"/>
      <x:c r="G376" s="18"/>
      <x:c r="H376" s="21"/>
      <x:c r="I376" s="22"/>
      <x:c r="J376" s="23"/>
      <x:c r="K376" s="23"/>
      <x:c r="L376" s="23"/>
      <x:c r="M376" s="23"/>
      <x:c r="N376" s="18" t="str">
        <x:v>BV12-03-mutation.pdf</x:v>
      </x:c>
      <x:c r="O376" s="18" t="str">
        <x:v>Not stated in this file</x:v>
      </x:c>
    </x:row>
    <x:row r="377" ht="60" customHeight="1">
      <x:c r="A377" s="12" t="str">
        <x:v>BV12</x:v>
      </x:c>
      <x:c r="B377" s="12" t="str">
        <x:v>BV12-D3</x:v>
      </x:c>
      <x:c r="C377" s="12" t="str">
        <x:v>seller</x:v>
      </x:c>
      <x:c r="D377" s="12" t="str">
        <x:v>Omit</x:v>
      </x:c>
      <x:c r="E377" s="13"/>
      <x:c r="F377" s="14"/>
      <x:c r="G377" s="12"/>
      <x:c r="H377" s="15"/>
      <x:c r="I377" s="16"/>
      <x:c r="J377" s="17"/>
      <x:c r="K377" s="17"/>
      <x:c r="L377" s="17"/>
      <x:c r="M377" s="17"/>
      <x:c r="N377" s="12" t="str">
        <x:v>BV12-03-mutation.pdf</x:v>
      </x:c>
      <x:c r="O377" s="12" t="str">
        <x:v>Not stated in this file</x:v>
      </x:c>
    </x:row>
    <x:row r="378" ht="60" customHeight="1">
      <x:c r="A378" s="12" t="str">
        <x:v>BV12</x:v>
      </x:c>
      <x:c r="B378" s="12" t="str">
        <x:v>BV12-D3</x:v>
      </x:c>
      <x:c r="C378" s="12" t="str">
        <x:v>buyer</x:v>
      </x:c>
      <x:c r="D378" s="12" t="str">
        <x:v>Omit</x:v>
      </x:c>
      <x:c r="E378" s="13"/>
      <x:c r="F378" s="14"/>
      <x:c r="G378" s="12"/>
      <x:c r="H378" s="15"/>
      <x:c r="I378" s="16"/>
      <x:c r="J378" s="17"/>
      <x:c r="K378" s="17"/>
      <x:c r="L378" s="17"/>
      <x:c r="M378" s="17"/>
      <x:c r="N378" s="12" t="str">
        <x:v>BV12-03-mutation.pdf</x:v>
      </x:c>
      <x:c r="O378" s="12" t="str">
        <x:v>Not stated in this file</x:v>
      </x:c>
    </x:row>
    <x:row r="379" ht="60" customHeight="1">
      <x:c r="A379" s="12" t="str">
        <x:v>BV12</x:v>
      </x:c>
      <x:c r="B379" s="12" t="str">
        <x:v>BV12-D3</x:v>
      </x:c>
      <x:c r="C379" s="12" t="str">
        <x:v>district</x:v>
      </x:c>
      <x:c r="D379" s="12" t="str">
        <x:v>Extract</x:v>
      </x:c>
      <x:c r="E379" s="13" t="str">
        <x:v>Vaishali</x:v>
      </x:c>
      <x:c r="F379" s="14" t="n">
        <x:v>1</x:v>
      </x:c>
      <x:c r="G379" s="12" t="str">
        <x:v>जिला / District: Vaishali</x:v>
      </x:c>
      <x:c r="H379" s="15"/>
      <x:c r="I379" s="16"/>
      <x:c r="J379" s="17"/>
      <x:c r="K379" s="17"/>
      <x:c r="L379" s="17"/>
      <x:c r="M379" s="17"/>
      <x:c r="N379" s="12" t="str">
        <x:v>BV12-03-mutation.pdf</x:v>
      </x:c>
      <x:c r="O379" s="12" t="str">
        <x:v>clear</x:v>
      </x:c>
    </x:row>
    <x:row r="380" ht="60" customHeight="1">
      <x:c r="A380" s="12" t="str">
        <x:v>BV12</x:v>
      </x:c>
      <x:c r="B380" s="12" t="str">
        <x:v>BV12-D3</x:v>
      </x:c>
      <x:c r="C380" s="12" t="str">
        <x:v>circle</x:v>
      </x:c>
      <x:c r="D380" s="12" t="str">
        <x:v>Extract</x:v>
      </x:c>
      <x:c r="E380" s="13" t="str">
        <x:v>Hajipur</x:v>
      </x:c>
      <x:c r="F380" s="14" t="n">
        <x:v>1</x:v>
      </x:c>
      <x:c r="G380" s="12" t="str">
        <x:v>अंचल / Circle: Hajipur</x:v>
      </x:c>
      <x:c r="H380" s="15"/>
      <x:c r="I380" s="16"/>
      <x:c r="J380" s="17"/>
      <x:c r="K380" s="17"/>
      <x:c r="L380" s="17"/>
      <x:c r="M380" s="17"/>
      <x:c r="N380" s="12" t="str">
        <x:v>BV12-03-mutation.pdf</x:v>
      </x:c>
      <x:c r="O380" s="12" t="str">
        <x:v>clear</x:v>
      </x:c>
    </x:row>
    <x:row r="381" ht="60" customHeight="1">
      <x:c r="A381" s="12" t="str">
        <x:v>BV12</x:v>
      </x:c>
      <x:c r="B381" s="12" t="str">
        <x:v>BV12-D3</x:v>
      </x:c>
      <x:c r="C381" s="12" t="str">
        <x:v>mauza</x:v>
      </x:c>
      <x:c r="D381" s="12" t="str">
        <x:v>Extract</x:v>
      </x:c>
      <x:c r="E381" s="13" t="str">
        <x:v>Srijan Demo Mauza</x:v>
      </x:c>
      <x:c r="F381" s="14" t="n">
        <x:v>1</x:v>
      </x:c>
      <x:c r="G381" s="12" t="str">
        <x:v>मौजा / Fictional village: Srijan Demo Mauza</x:v>
      </x:c>
      <x:c r="H381" s="15"/>
      <x:c r="I381" s="16"/>
      <x:c r="J381" s="17"/>
      <x:c r="K381" s="17"/>
      <x:c r="L381" s="17"/>
      <x:c r="M381" s="17"/>
      <x:c r="N381" s="12" t="str">
        <x:v>BV12-03-mutation.pdf</x:v>
      </x:c>
      <x:c r="O381" s="12" t="str">
        <x:v>clear</x:v>
      </x:c>
    </x:row>
    <x:row r="382" ht="60" customHeight="1">
      <x:c r="A382" s="12" t="str">
        <x:v>BV12</x:v>
      </x:c>
      <x:c r="B382" s="12" t="str">
        <x:v>BV12-D3</x:v>
      </x:c>
      <x:c r="C382" s="12" t="str">
        <x:v>thana</x:v>
      </x:c>
      <x:c r="D382" s="12" t="str">
        <x:v>Omit</x:v>
      </x:c>
      <x:c r="E382" s="13"/>
      <x:c r="F382" s="14"/>
      <x:c r="G382" s="12"/>
      <x:c r="H382" s="15"/>
      <x:c r="I382" s="16"/>
      <x:c r="J382" s="17"/>
      <x:c r="K382" s="17"/>
      <x:c r="L382" s="17"/>
      <x:c r="M382" s="17"/>
      <x:c r="N382" s="12" t="str">
        <x:v>BV12-03-mutation.pdf</x:v>
      </x:c>
      <x:c r="O382" s="12" t="str">
        <x:v>Not stated in this file</x:v>
      </x:c>
    </x:row>
    <x:row r="383" ht="60" customHeight="1">
      <x:c r="A383" s="12" t="str">
        <x:v>BV12</x:v>
      </x:c>
      <x:c r="B383" s="12" t="str">
        <x:v>BV12-D3</x:v>
      </x:c>
      <x:c r="C383" s="12" t="str">
        <x:v>khata</x:v>
      </x:c>
      <x:c r="D383" s="12" t="str">
        <x:v>Extract</x:v>
      </x:c>
      <x:c r="E383" s="24" t="str">
        <x:v>0056</x:v>
      </x:c>
      <x:c r="F383" s="14" t="n">
        <x:v>1</x:v>
      </x:c>
      <x:c r="G383" s="12" t="str">
        <x:v>खाता / Khata: 0056</x:v>
      </x:c>
      <x:c r="H383" s="15"/>
      <x:c r="I383" s="16"/>
      <x:c r="J383" s="17"/>
      <x:c r="K383" s="17"/>
      <x:c r="L383" s="17"/>
      <x:c r="M383" s="17"/>
      <x:c r="N383" s="12" t="str">
        <x:v>BV12-03-mutation.pdf</x:v>
      </x:c>
      <x:c r="O383" s="12" t="str">
        <x:v>clear</x:v>
      </x:c>
    </x:row>
    <x:row r="384" ht="60" customHeight="1">
      <x:c r="A384" s="12" t="str">
        <x:v>BV12</x:v>
      </x:c>
      <x:c r="B384" s="12" t="str">
        <x:v>BV12-D3</x:v>
      </x:c>
      <x:c r="C384" s="12" t="str">
        <x:v>khesra</x:v>
      </x:c>
      <x:c r="D384" s="12" t="str">
        <x:v>Extract</x:v>
      </x:c>
      <x:c r="E384" s="24" t="str">
        <x:v>0308</x:v>
      </x:c>
      <x:c r="F384" s="14" t="n">
        <x:v>1</x:v>
      </x:c>
      <x:c r="G384" s="12" t="str">
        <x:v>खेसरा / Khesra: 0308</x:v>
      </x:c>
      <x:c r="H384" s="15"/>
      <x:c r="I384" s="16"/>
      <x:c r="J384" s="17"/>
      <x:c r="K384" s="17"/>
      <x:c r="L384" s="17"/>
      <x:c r="M384" s="17"/>
      <x:c r="N384" s="12" t="str">
        <x:v>BV12-03-mutation.pdf</x:v>
      </x:c>
      <x:c r="O384" s="12" t="str">
        <x:v>clear</x:v>
      </x:c>
    </x:row>
    <x:row r="385" ht="60" customHeight="1">
      <x:c r="A385" s="12" t="str">
        <x:v>BV12</x:v>
      </x:c>
      <x:c r="B385" s="12" t="str">
        <x:v>BV12-D3</x:v>
      </x:c>
      <x:c r="C385" s="12" t="str">
        <x:v>jamabandi</x:v>
      </x:c>
      <x:c r="D385" s="12" t="str">
        <x:v>Omit</x:v>
      </x:c>
      <x:c r="E385" s="13"/>
      <x:c r="F385" s="14"/>
      <x:c r="G385" s="12"/>
      <x:c r="H385" s="15"/>
      <x:c r="I385" s="16"/>
      <x:c r="J385" s="17"/>
      <x:c r="K385" s="17"/>
      <x:c r="L385" s="17"/>
      <x:c r="M385" s="17"/>
      <x:c r="N385" s="12" t="str">
        <x:v>BV12-03-mutation.pdf</x:v>
      </x:c>
      <x:c r="O385" s="12" t="str">
        <x:v>Not stated in this file</x:v>
      </x:c>
    </x:row>
    <x:row r="386" ht="60" customHeight="1">
      <x:c r="A386" s="12" t="str">
        <x:v>BV12</x:v>
      </x:c>
      <x:c r="B386" s="12" t="str">
        <x:v>BV12-D3</x:v>
      </x:c>
      <x:c r="C386" s="12" t="str">
        <x:v>area</x:v>
      </x:c>
      <x:c r="D386" s="12" t="str">
        <x:v>Omit</x:v>
      </x:c>
      <x:c r="E386" s="13"/>
      <x:c r="F386" s="14"/>
      <x:c r="G386" s="12"/>
      <x:c r="H386" s="15"/>
      <x:c r="I386" s="16"/>
      <x:c r="J386" s="17"/>
      <x:c r="K386" s="17"/>
      <x:c r="L386" s="17"/>
      <x:c r="M386" s="17"/>
      <x:c r="N386" s="12" t="str">
        <x:v>BV12-03-mutation.pdf</x:v>
      </x:c>
      <x:c r="O386" s="12" t="str">
        <x:v>Not stated in this file</x:v>
      </x:c>
    </x:row>
    <x:row r="387" ht="60" customHeight="1">
      <x:c r="A387" s="12" t="str">
        <x:v>BV12</x:v>
      </x:c>
      <x:c r="B387" s="12" t="str">
        <x:v>BV12-D3</x:v>
      </x:c>
      <x:c r="C387" s="12" t="str">
        <x:v>areaUnit</x:v>
      </x:c>
      <x:c r="D387" s="12" t="str">
        <x:v>Omit</x:v>
      </x:c>
      <x:c r="E387" s="13"/>
      <x:c r="F387" s="14"/>
      <x:c r="G387" s="12"/>
      <x:c r="H387" s="15"/>
      <x:c r="I387" s="16"/>
      <x:c r="J387" s="17"/>
      <x:c r="K387" s="17"/>
      <x:c r="L387" s="17"/>
      <x:c r="M387" s="17"/>
      <x:c r="N387" s="12" t="str">
        <x:v>BV12-03-mutation.pdf</x:v>
      </x:c>
      <x:c r="O387" s="12" t="str">
        <x:v>Not stated in this file</x:v>
      </x:c>
    </x:row>
    <x:row r="388" ht="60" customHeight="1">
      <x:c r="A388" s="12" t="str">
        <x:v>BV12</x:v>
      </x:c>
      <x:c r="B388" s="12" t="str">
        <x:v>BV12-D3</x:v>
      </x:c>
      <x:c r="C388" s="12" t="str">
        <x:v>date</x:v>
      </x:c>
      <x:c r="D388" s="12" t="str">
        <x:v>Extract</x:v>
      </x:c>
      <x:c r="E388" s="13" t="str">
        <x:v>2025-09-22</x:v>
      </x:c>
      <x:c r="F388" s="14" t="n">
        <x:v>1</x:v>
      </x:c>
      <x:c r="G388" s="12" t="str">
        <x:v>Document date: 2025-09-22</x:v>
      </x:c>
      <x:c r="H388" s="15"/>
      <x:c r="I388" s="16"/>
      <x:c r="J388" s="17"/>
      <x:c r="K388" s="17"/>
      <x:c r="L388" s="17"/>
      <x:c r="M388" s="17"/>
      <x:c r="N388" s="12" t="str">
        <x:v>BV12-03-mutation.pdf</x:v>
      </x:c>
      <x:c r="O388" s="12" t="str">
        <x:v>clear</x:v>
      </x:c>
    </x:row>
    <x:row r="389" ht="60" customHeight="1">
      <x:c r="A389" s="12" t="str">
        <x:v>BV12</x:v>
      </x:c>
      <x:c r="B389" s="12" t="str">
        <x:v>BV12-D3</x:v>
      </x:c>
      <x:c r="C389" s="12" t="str">
        <x:v>mutationStatus</x:v>
      </x:c>
      <x:c r="D389" s="12" t="str">
        <x:v>Extract</x:v>
      </x:c>
      <x:c r="E389" s="13" t="str">
        <x:v>लंबित / pending</x:v>
      </x:c>
      <x:c r="F389" s="14" t="n">
        <x:v>1</x:v>
      </x:c>
      <x:c r="G389" s="12" t="str">
        <x:v>आवेदन की स्थिति / Application status: लंबित / pending</x:v>
      </x:c>
      <x:c r="H389" s="15"/>
      <x:c r="I389" s="16"/>
      <x:c r="J389" s="17"/>
      <x:c r="K389" s="17"/>
      <x:c r="L389" s="17"/>
      <x:c r="M389" s="17"/>
      <x:c r="N389" s="12" t="str">
        <x:v>BV12-03-mutation.pdf</x:v>
      </x:c>
      <x:c r="O389" s="12" t="str">
        <x:v>clear</x:v>
      </x:c>
    </x:row>
    <x:row r="390" ht="60" customHeight="1">
      <x:c r="A390" s="12" t="str">
        <x:v>BV12</x:v>
      </x:c>
      <x:c r="B390" s="12" t="str">
        <x:v>BV12-D3</x:v>
      </x:c>
      <x:c r="C390" s="12" t="str">
        <x:v>mortgage</x:v>
      </x:c>
      <x:c r="D390" s="12" t="str">
        <x:v>Omit</x:v>
      </x:c>
      <x:c r="E390" s="13"/>
      <x:c r="F390" s="14"/>
      <x:c r="G390" s="12"/>
      <x:c r="H390" s="15"/>
      <x:c r="I390" s="16"/>
      <x:c r="J390" s="17"/>
      <x:c r="K390" s="17"/>
      <x:c r="L390" s="17"/>
      <x:c r="M390" s="17"/>
      <x:c r="N390" s="12" t="str">
        <x:v>BV12-03-mutation.pdf</x:v>
      </x:c>
      <x:c r="O390" s="12" t="str">
        <x:v>Not stated in this file</x:v>
      </x:c>
    </x:row>
    <x:row r="391" ht="60" customHeight="1">
      <x:c r="A391" s="12" t="str">
        <x:v>BV12</x:v>
      </x:c>
      <x:c r="B391" s="12" t="str">
        <x:v>BV12-D3</x:v>
      </x:c>
      <x:c r="C391" s="12" t="str">
        <x:v>boundaries</x:v>
      </x:c>
      <x:c r="D391" s="12" t="str">
        <x:v>Omit</x:v>
      </x:c>
      <x:c r="E391" s="13"/>
      <x:c r="F391" s="14"/>
      <x:c r="G391" s="12"/>
      <x:c r="H391" s="15"/>
      <x:c r="I391" s="16"/>
      <x:c r="J391" s="17"/>
      <x:c r="K391" s="17"/>
      <x:c r="L391" s="17"/>
      <x:c r="M391" s="17"/>
      <x:c r="N391" s="12" t="str">
        <x:v>BV12-03-mutation.pdf</x:v>
      </x:c>
      <x:c r="O391" s="12" t="str">
        <x:v>Not stated in this file</x:v>
      </x:c>
    </x:row>
    <x:row r="392" ht="60" customHeight="1">
      <x:c r="A392" s="18" t="str">
        <x:v>BV13</x:v>
      </x:c>
      <x:c r="B392" s="18" t="str">
        <x:v>BV13-D1</x:v>
      </x:c>
      <x:c r="C392" s="18" t="str">
        <x:v>owner</x:v>
      </x:c>
      <x:c r="D392" s="18" t="str">
        <x:v>Omit</x:v>
      </x:c>
      <x:c r="E392" s="19"/>
      <x:c r="F392" s="20"/>
      <x:c r="G392" s="18"/>
      <x:c r="H392" s="21"/>
      <x:c r="I392" s="22"/>
      <x:c r="J392" s="23"/>
      <x:c r="K392" s="23"/>
      <x:c r="L392" s="23"/>
      <x:c r="M392" s="23"/>
      <x:c r="N392" s="18" t="str">
        <x:v>BV13-01-sale-deed.jpg</x:v>
      </x:c>
      <x:c r="O392" s="18" t="str">
        <x:v>Not stated in this file</x:v>
      </x:c>
    </x:row>
    <x:row r="393" ht="60" customHeight="1">
      <x:c r="A393" s="12" t="str">
        <x:v>BV13</x:v>
      </x:c>
      <x:c r="B393" s="12" t="str">
        <x:v>BV13-D1</x:v>
      </x:c>
      <x:c r="C393" s="12" t="str">
        <x:v>seller</x:v>
      </x:c>
      <x:c r="D393" s="12" t="str">
        <x:v>Extract</x:v>
      </x:c>
      <x:c r="E393" s="13" t="str">
        <x:v>Farah Demo</x:v>
      </x:c>
      <x:c r="F393" s="14" t="n">
        <x:v>1</x:v>
      </x:c>
      <x:c r="G393" s="12" t="str">
        <x:v>Seller: Farah Demo</x:v>
      </x:c>
      <x:c r="H393" s="15"/>
      <x:c r="I393" s="16"/>
      <x:c r="J393" s="17"/>
      <x:c r="K393" s="17"/>
      <x:c r="L393" s="17"/>
      <x:c r="M393" s="17"/>
      <x:c r="N393" s="12" t="str">
        <x:v>BV13-01-sale-deed.jpg</x:v>
      </x:c>
      <x:c r="O393" s="12" t="str">
        <x:v>mild-blur</x:v>
      </x:c>
    </x:row>
    <x:row r="394" ht="60" customHeight="1">
      <x:c r="A394" s="12" t="str">
        <x:v>BV13</x:v>
      </x:c>
      <x:c r="B394" s="12" t="str">
        <x:v>BV13-D1</x:v>
      </x:c>
      <x:c r="C394" s="12" t="str">
        <x:v>buyer</x:v>
      </x:c>
      <x:c r="D394" s="12" t="str">
        <x:v>Extract</x:v>
      </x:c>
      <x:c r="E394" s="13" t="str">
        <x:v>Imran Demo</x:v>
      </x:c>
      <x:c r="F394" s="14" t="n">
        <x:v>1</x:v>
      </x:c>
      <x:c r="G394" s="12" t="str">
        <x:v>Buyer: Imran Demo</x:v>
      </x:c>
      <x:c r="H394" s="15"/>
      <x:c r="I394" s="16"/>
      <x:c r="J394" s="17"/>
      <x:c r="K394" s="17"/>
      <x:c r="L394" s="17"/>
      <x:c r="M394" s="17"/>
      <x:c r="N394" s="12" t="str">
        <x:v>BV13-01-sale-deed.jpg</x:v>
      </x:c>
      <x:c r="O394" s="12" t="str">
        <x:v>mild-blur</x:v>
      </x:c>
    </x:row>
    <x:row r="395" ht="60" customHeight="1">
      <x:c r="A395" s="12" t="str">
        <x:v>BV13</x:v>
      </x:c>
      <x:c r="B395" s="12" t="str">
        <x:v>BV13-D1</x:v>
      </x:c>
      <x:c r="C395" s="12" t="str">
        <x:v>district</x:v>
      </x:c>
      <x:c r="D395" s="12" t="str">
        <x:v>Extract</x:v>
      </x:c>
      <x:c r="E395" s="13" t="str">
        <x:v>Katihar</x:v>
      </x:c>
      <x:c r="F395" s="14" t="n">
        <x:v>1</x:v>
      </x:c>
      <x:c r="G395" s="12" t="str">
        <x:v>District: Katihar</x:v>
      </x:c>
      <x:c r="H395" s="15"/>
      <x:c r="I395" s="16"/>
      <x:c r="J395" s="17"/>
      <x:c r="K395" s="17"/>
      <x:c r="L395" s="17"/>
      <x:c r="M395" s="17"/>
      <x:c r="N395" s="12" t="str">
        <x:v>BV13-01-sale-deed.jpg</x:v>
      </x:c>
      <x:c r="O395" s="12" t="str">
        <x:v>mild-blur</x:v>
      </x:c>
    </x:row>
    <x:row r="396" ht="60" customHeight="1">
      <x:c r="A396" s="12" t="str">
        <x:v>BV13</x:v>
      </x:c>
      <x:c r="B396" s="12" t="str">
        <x:v>BV13-D1</x:v>
      </x:c>
      <x:c r="C396" s="12" t="str">
        <x:v>circle</x:v>
      </x:c>
      <x:c r="D396" s="12" t="str">
        <x:v>Extract</x:v>
      </x:c>
      <x:c r="E396" s="13" t="str">
        <x:v>Katihar</x:v>
      </x:c>
      <x:c r="F396" s="14" t="n">
        <x:v>1</x:v>
      </x:c>
      <x:c r="G396" s="12" t="str">
        <x:v>Anchal / circle: Katihar</x:v>
      </x:c>
      <x:c r="H396" s="15"/>
      <x:c r="I396" s="16"/>
      <x:c r="J396" s="17"/>
      <x:c r="K396" s="17"/>
      <x:c r="L396" s="17"/>
      <x:c r="M396" s="17"/>
      <x:c r="N396" s="12" t="str">
        <x:v>BV13-01-sale-deed.jpg</x:v>
      </x:c>
      <x:c r="O396" s="12" t="str">
        <x:v>mild-blur</x:v>
      </x:c>
    </x:row>
    <x:row r="397" ht="60" customHeight="1">
      <x:c r="A397" s="12" t="str">
        <x:v>BV13</x:v>
      </x:c>
      <x:c r="B397" s="12" t="str">
        <x:v>BV13-D1</x:v>
      </x:c>
      <x:c r="C397" s="12" t="str">
        <x:v>mauza</x:v>
      </x:c>
      <x:c r="D397" s="12" t="str">
        <x:v>Extract</x:v>
      </x:c>
      <x:c r="E397" s="13" t="str">
        <x:v>Ambar Demo Mauza</x:v>
      </x:c>
      <x:c r="F397" s="14" t="n">
        <x:v>1</x:v>
      </x:c>
      <x:c r="G397" s="12" t="str">
        <x:v>Mauza (fictional village): Ambar Demo Mauza</x:v>
      </x:c>
      <x:c r="H397" s="15"/>
      <x:c r="I397" s="16"/>
      <x:c r="J397" s="17"/>
      <x:c r="K397" s="17"/>
      <x:c r="L397" s="17"/>
      <x:c r="M397" s="17"/>
      <x:c r="N397" s="12" t="str">
        <x:v>BV13-01-sale-deed.jpg</x:v>
      </x:c>
      <x:c r="O397" s="12" t="str">
        <x:v>mild-blur</x:v>
      </x:c>
    </x:row>
    <x:row r="398" ht="60" customHeight="1">
      <x:c r="A398" s="12" t="str">
        <x:v>BV13</x:v>
      </x:c>
      <x:c r="B398" s="12" t="str">
        <x:v>BV13-D1</x:v>
      </x:c>
      <x:c r="C398" s="12" t="str">
        <x:v>thana</x:v>
      </x:c>
      <x:c r="D398" s="12" t="str">
        <x:v>Omit</x:v>
      </x:c>
      <x:c r="E398" s="13"/>
      <x:c r="F398" s="14"/>
      <x:c r="G398" s="12"/>
      <x:c r="H398" s="15"/>
      <x:c r="I398" s="16"/>
      <x:c r="J398" s="17"/>
      <x:c r="K398" s="17"/>
      <x:c r="L398" s="17"/>
      <x:c r="M398" s="17"/>
      <x:c r="N398" s="12" t="str">
        <x:v>BV13-01-sale-deed.jpg</x:v>
      </x:c>
      <x:c r="O398" s="12" t="str">
        <x:v>Not stated in this file</x:v>
      </x:c>
    </x:row>
    <x:row r="399" ht="60" customHeight="1">
      <x:c r="A399" s="12" t="str">
        <x:v>BV13</x:v>
      </x:c>
      <x:c r="B399" s="12" t="str">
        <x:v>BV13-D1</x:v>
      </x:c>
      <x:c r="C399" s="12" t="str">
        <x:v>khata</x:v>
      </x:c>
      <x:c r="D399" s="12" t="str">
        <x:v>Extract</x:v>
      </x:c>
      <x:c r="E399" s="24" t="str">
        <x:v>0068</x:v>
      </x:c>
      <x:c r="F399" s="14" t="n">
        <x:v>1</x:v>
      </x:c>
      <x:c r="G399" s="12" t="str">
        <x:v>Khata: 0068</x:v>
      </x:c>
      <x:c r="H399" s="15"/>
      <x:c r="I399" s="16"/>
      <x:c r="J399" s="17"/>
      <x:c r="K399" s="17"/>
      <x:c r="L399" s="17"/>
      <x:c r="M399" s="17"/>
      <x:c r="N399" s="12" t="str">
        <x:v>BV13-01-sale-deed.jpg</x:v>
      </x:c>
      <x:c r="O399" s="12" t="str">
        <x:v>mild-blur</x:v>
      </x:c>
    </x:row>
    <x:row r="400" ht="60" customHeight="1">
      <x:c r="A400" s="12" t="str">
        <x:v>BV13</x:v>
      </x:c>
      <x:c r="B400" s="12" t="str">
        <x:v>BV13-D1</x:v>
      </x:c>
      <x:c r="C400" s="12" t="str">
        <x:v>khesra</x:v>
      </x:c>
      <x:c r="D400" s="12" t="str">
        <x:v>Extract</x:v>
      </x:c>
      <x:c r="E400" s="24" t="str">
        <x:v>0527</x:v>
      </x:c>
      <x:c r="F400" s="14" t="n">
        <x:v>1</x:v>
      </x:c>
      <x:c r="G400" s="12" t="str">
        <x:v>Khesra: 0527</x:v>
      </x:c>
      <x:c r="H400" s="15"/>
      <x:c r="I400" s="16"/>
      <x:c r="J400" s="17"/>
      <x:c r="K400" s="17"/>
      <x:c r="L400" s="17"/>
      <x:c r="M400" s="17"/>
      <x:c r="N400" s="12" t="str">
        <x:v>BV13-01-sale-deed.jpg</x:v>
      </x:c>
      <x:c r="O400" s="12" t="str">
        <x:v>mild-blur</x:v>
      </x:c>
    </x:row>
    <x:row r="401" ht="60" customHeight="1">
      <x:c r="A401" s="12" t="str">
        <x:v>BV13</x:v>
      </x:c>
      <x:c r="B401" s="12" t="str">
        <x:v>BV13-D1</x:v>
      </x:c>
      <x:c r="C401" s="12" t="str">
        <x:v>jamabandi</x:v>
      </x:c>
      <x:c r="D401" s="12" t="str">
        <x:v>Omit</x:v>
      </x:c>
      <x:c r="E401" s="13"/>
      <x:c r="F401" s="14"/>
      <x:c r="G401" s="12"/>
      <x:c r="H401" s="15"/>
      <x:c r="I401" s="16"/>
      <x:c r="J401" s="17"/>
      <x:c r="K401" s="17"/>
      <x:c r="L401" s="17"/>
      <x:c r="M401" s="17"/>
      <x:c r="N401" s="12" t="str">
        <x:v>BV13-01-sale-deed.jpg</x:v>
      </x:c>
      <x:c r="O401" s="12" t="str">
        <x:v>Not stated in this file</x:v>
      </x:c>
    </x:row>
    <x:row r="402" ht="60" customHeight="1">
      <x:c r="A402" s="12" t="str">
        <x:v>BV13</x:v>
      </x:c>
      <x:c r="B402" s="12" t="str">
        <x:v>BV13-D1</x:v>
      </x:c>
      <x:c r="C402" s="12" t="str">
        <x:v>area</x:v>
      </x:c>
      <x:c r="D402" s="12" t="str">
        <x:v>Extract</x:v>
      </x:c>
      <x:c r="E402" s="13" t="str">
        <x:v>24</x:v>
      </x:c>
      <x:c r="F402" s="14" t="n">
        <x:v>1</x:v>
      </x:c>
      <x:c r="G402" s="12" t="str">
        <x:v>Area: 24</x:v>
      </x:c>
      <x:c r="H402" s="15"/>
      <x:c r="I402" s="16"/>
      <x:c r="J402" s="17"/>
      <x:c r="K402" s="17"/>
      <x:c r="L402" s="17"/>
      <x:c r="M402" s="17"/>
      <x:c r="N402" s="12" t="str">
        <x:v>BV13-01-sale-deed.jpg</x:v>
      </x:c>
      <x:c r="O402" s="12" t="str">
        <x:v>mild-blur</x:v>
      </x:c>
    </x:row>
    <x:row r="403" ht="60" customHeight="1">
      <x:c r="A403" s="12" t="str">
        <x:v>BV13</x:v>
      </x:c>
      <x:c r="B403" s="12" t="str">
        <x:v>BV13-D1</x:v>
      </x:c>
      <x:c r="C403" s="12" t="str">
        <x:v>areaUnit</x:v>
      </x:c>
      <x:c r="D403" s="12" t="str">
        <x:v>Extract</x:v>
      </x:c>
      <x:c r="E403" s="13" t="str">
        <x:v>decimal</x:v>
      </x:c>
      <x:c r="F403" s="14" t="n">
        <x:v>1</x:v>
      </x:c>
      <x:c r="G403" s="12" t="str">
        <x:v>Area unit: decimal</x:v>
      </x:c>
      <x:c r="H403" s="15"/>
      <x:c r="I403" s="16"/>
      <x:c r="J403" s="17"/>
      <x:c r="K403" s="17"/>
      <x:c r="L403" s="17"/>
      <x:c r="M403" s="17"/>
      <x:c r="N403" s="12" t="str">
        <x:v>BV13-01-sale-deed.jpg</x:v>
      </x:c>
      <x:c r="O403" s="12" t="str">
        <x:v>mild-blur</x:v>
      </x:c>
    </x:row>
    <x:row r="404" ht="60" customHeight="1">
      <x:c r="A404" s="12" t="str">
        <x:v>BV13</x:v>
      </x:c>
      <x:c r="B404" s="12" t="str">
        <x:v>BV13-D1</x:v>
      </x:c>
      <x:c r="C404" s="12" t="str">
        <x:v>date</x:v>
      </x:c>
      <x:c r="D404" s="12" t="str">
        <x:v>Extract</x:v>
      </x:c>
      <x:c r="E404" s="13" t="str">
        <x:v>2024-08-23</x:v>
      </x:c>
      <x:c r="F404" s="14" t="n">
        <x:v>1</x:v>
      </x:c>
      <x:c r="G404" s="12" t="str">
        <x:v>Document date: 2024-08-23</x:v>
      </x:c>
      <x:c r="H404" s="15"/>
      <x:c r="I404" s="16"/>
      <x:c r="J404" s="17"/>
      <x:c r="K404" s="17"/>
      <x:c r="L404" s="17"/>
      <x:c r="M404" s="17"/>
      <x:c r="N404" s="12" t="str">
        <x:v>BV13-01-sale-deed.jpg</x:v>
      </x:c>
      <x:c r="O404" s="12" t="str">
        <x:v>mild-blur</x:v>
      </x:c>
    </x:row>
    <x:row r="405" ht="60" customHeight="1">
      <x:c r="A405" s="12" t="str">
        <x:v>BV13</x:v>
      </x:c>
      <x:c r="B405" s="12" t="str">
        <x:v>BV13-D1</x:v>
      </x:c>
      <x:c r="C405" s="12" t="str">
        <x:v>mutationStatus</x:v>
      </x:c>
      <x:c r="D405" s="12" t="str">
        <x:v>Omit</x:v>
      </x:c>
      <x:c r="E405" s="13"/>
      <x:c r="F405" s="14"/>
      <x:c r="G405" s="12"/>
      <x:c r="H405" s="15"/>
      <x:c r="I405" s="16"/>
      <x:c r="J405" s="17"/>
      <x:c r="K405" s="17"/>
      <x:c r="L405" s="17"/>
      <x:c r="M405" s="17"/>
      <x:c r="N405" s="12" t="str">
        <x:v>BV13-01-sale-deed.jpg</x:v>
      </x:c>
      <x:c r="O405" s="12" t="str">
        <x:v>Not stated in this file</x:v>
      </x:c>
    </x:row>
    <x:row r="406" ht="60" customHeight="1">
      <x:c r="A406" s="12" t="str">
        <x:v>BV13</x:v>
      </x:c>
      <x:c r="B406" s="12" t="str">
        <x:v>BV13-D1</x:v>
      </x:c>
      <x:c r="C406" s="12" t="str">
        <x:v>mortgage</x:v>
      </x:c>
      <x:c r="D406" s="12" t="str">
        <x:v>Omit</x:v>
      </x:c>
      <x:c r="E406" s="13"/>
      <x:c r="F406" s="14"/>
      <x:c r="G406" s="12"/>
      <x:c r="H406" s="15"/>
      <x:c r="I406" s="16"/>
      <x:c r="J406" s="17"/>
      <x:c r="K406" s="17"/>
      <x:c r="L406" s="17"/>
      <x:c r="M406" s="17"/>
      <x:c r="N406" s="12" t="str">
        <x:v>BV13-01-sale-deed.jpg</x:v>
      </x:c>
      <x:c r="O406" s="12" t="str">
        <x:v>Not stated in this file</x:v>
      </x:c>
    </x:row>
    <x:row r="407" ht="60" customHeight="1">
      <x:c r="A407" s="12" t="str">
        <x:v>BV13</x:v>
      </x:c>
      <x:c r="B407" s="12" t="str">
        <x:v>BV13-D1</x:v>
      </x:c>
      <x:c r="C407" s="12" t="str">
        <x:v>boundaries</x:v>
      </x:c>
      <x:c r="D407" s="12" t="str">
        <x:v>Omit</x:v>
      </x:c>
      <x:c r="E407" s="13"/>
      <x:c r="F407" s="14"/>
      <x:c r="G407" s="12"/>
      <x:c r="H407" s="15"/>
      <x:c r="I407" s="16"/>
      <x:c r="J407" s="17"/>
      <x:c r="K407" s="17"/>
      <x:c r="L407" s="17"/>
      <x:c r="M407" s="17"/>
      <x:c r="N407" s="12" t="str">
        <x:v>BV13-01-sale-deed.jpg</x:v>
      </x:c>
      <x:c r="O407" s="12" t="str">
        <x:v>Not stated in this file</x:v>
      </x:c>
    </x:row>
    <x:row r="408" ht="60" customHeight="1">
      <x:c r="A408" s="18" t="str">
        <x:v>BV13</x:v>
      </x:c>
      <x:c r="B408" s="18" t="str">
        <x:v>BV13-D2</x:v>
      </x:c>
      <x:c r="C408" s="18" t="str">
        <x:v>owner</x:v>
      </x:c>
      <x:c r="D408" s="18" t="str">
        <x:v>Extract</x:v>
      </x:c>
      <x:c r="E408" s="19" t="str">
        <x:v>Imran Demo</x:v>
      </x:c>
      <x:c r="F408" s="20" t="n">
        <x:v>1</x:v>
      </x:c>
      <x:c r="G408" s="18" t="str">
        <x:v>Recorded owner: Imran Demo</x:v>
      </x:c>
      <x:c r="H408" s="21"/>
      <x:c r="I408" s="22"/>
      <x:c r="J408" s="23"/>
      <x:c r="K408" s="23"/>
      <x:c r="L408" s="23"/>
      <x:c r="M408" s="23"/>
      <x:c r="N408" s="18" t="str">
        <x:v>BV13-02-jamabandi.jpg</x:v>
      </x:c>
      <x:c r="O408" s="18" t="str">
        <x:v>mild-blur</x:v>
      </x:c>
    </x:row>
    <x:row r="409" ht="60" customHeight="1">
      <x:c r="A409" s="12" t="str">
        <x:v>BV13</x:v>
      </x:c>
      <x:c r="B409" s="12" t="str">
        <x:v>BV13-D2</x:v>
      </x:c>
      <x:c r="C409" s="12" t="str">
        <x:v>seller</x:v>
      </x:c>
      <x:c r="D409" s="12" t="str">
        <x:v>Omit</x:v>
      </x:c>
      <x:c r="E409" s="13"/>
      <x:c r="F409" s="14"/>
      <x:c r="G409" s="12"/>
      <x:c r="H409" s="15"/>
      <x:c r="I409" s="16"/>
      <x:c r="J409" s="17"/>
      <x:c r="K409" s="17"/>
      <x:c r="L409" s="17"/>
      <x:c r="M409" s="17"/>
      <x:c r="N409" s="12" t="str">
        <x:v>BV13-02-jamabandi.jpg</x:v>
      </x:c>
      <x:c r="O409" s="12" t="str">
        <x:v>Not stated in this file</x:v>
      </x:c>
    </x:row>
    <x:row r="410" ht="60" customHeight="1">
      <x:c r="A410" s="12" t="str">
        <x:v>BV13</x:v>
      </x:c>
      <x:c r="B410" s="12" t="str">
        <x:v>BV13-D2</x:v>
      </x:c>
      <x:c r="C410" s="12" t="str">
        <x:v>buyer</x:v>
      </x:c>
      <x:c r="D410" s="12" t="str">
        <x:v>Omit</x:v>
      </x:c>
      <x:c r="E410" s="13"/>
      <x:c r="F410" s="14"/>
      <x:c r="G410" s="12"/>
      <x:c r="H410" s="15"/>
      <x:c r="I410" s="16"/>
      <x:c r="J410" s="17"/>
      <x:c r="K410" s="17"/>
      <x:c r="L410" s="17"/>
      <x:c r="M410" s="17"/>
      <x:c r="N410" s="12" t="str">
        <x:v>BV13-02-jamabandi.jpg</x:v>
      </x:c>
      <x:c r="O410" s="12" t="str">
        <x:v>Not stated in this file</x:v>
      </x:c>
    </x:row>
    <x:row r="411" ht="60" customHeight="1">
      <x:c r="A411" s="12" t="str">
        <x:v>BV13</x:v>
      </x:c>
      <x:c r="B411" s="12" t="str">
        <x:v>BV13-D2</x:v>
      </x:c>
      <x:c r="C411" s="12" t="str">
        <x:v>district</x:v>
      </x:c>
      <x:c r="D411" s="12" t="str">
        <x:v>Extract</x:v>
      </x:c>
      <x:c r="E411" s="13" t="str">
        <x:v>Katihar</x:v>
      </x:c>
      <x:c r="F411" s="14" t="n">
        <x:v>1</x:v>
      </x:c>
      <x:c r="G411" s="12" t="str">
        <x:v>District: Katihar</x:v>
      </x:c>
      <x:c r="H411" s="15"/>
      <x:c r="I411" s="16"/>
      <x:c r="J411" s="17"/>
      <x:c r="K411" s="17"/>
      <x:c r="L411" s="17"/>
      <x:c r="M411" s="17"/>
      <x:c r="N411" s="12" t="str">
        <x:v>BV13-02-jamabandi.jpg</x:v>
      </x:c>
      <x:c r="O411" s="12" t="str">
        <x:v>mild-blur</x:v>
      </x:c>
    </x:row>
    <x:row r="412" ht="60" customHeight="1">
      <x:c r="A412" s="12" t="str">
        <x:v>BV13</x:v>
      </x:c>
      <x:c r="B412" s="12" t="str">
        <x:v>BV13-D2</x:v>
      </x:c>
      <x:c r="C412" s="12" t="str">
        <x:v>circle</x:v>
      </x:c>
      <x:c r="D412" s="12" t="str">
        <x:v>Extract</x:v>
      </x:c>
      <x:c r="E412" s="13" t="str">
        <x:v>Katihar</x:v>
      </x:c>
      <x:c r="F412" s="14" t="n">
        <x:v>1</x:v>
      </x:c>
      <x:c r="G412" s="12" t="str">
        <x:v>Anchal / circle: Katihar</x:v>
      </x:c>
      <x:c r="H412" s="15"/>
      <x:c r="I412" s="16"/>
      <x:c r="J412" s="17"/>
      <x:c r="K412" s="17"/>
      <x:c r="L412" s="17"/>
      <x:c r="M412" s="17"/>
      <x:c r="N412" s="12" t="str">
        <x:v>BV13-02-jamabandi.jpg</x:v>
      </x:c>
      <x:c r="O412" s="12" t="str">
        <x:v>mild-blur</x:v>
      </x:c>
    </x:row>
    <x:row r="413" ht="60" customHeight="1">
      <x:c r="A413" s="12" t="str">
        <x:v>BV13</x:v>
      </x:c>
      <x:c r="B413" s="12" t="str">
        <x:v>BV13-D2</x:v>
      </x:c>
      <x:c r="C413" s="12" t="str">
        <x:v>mauza</x:v>
      </x:c>
      <x:c r="D413" s="12" t="str">
        <x:v>Extract</x:v>
      </x:c>
      <x:c r="E413" s="13" t="str">
        <x:v>Ambar Demo Mauza</x:v>
      </x:c>
      <x:c r="F413" s="14" t="n">
        <x:v>1</x:v>
      </x:c>
      <x:c r="G413" s="12" t="str">
        <x:v>Mauza (fictional village): Ambar Demo Mauza</x:v>
      </x:c>
      <x:c r="H413" s="15"/>
      <x:c r="I413" s="16"/>
      <x:c r="J413" s="17"/>
      <x:c r="K413" s="17"/>
      <x:c r="L413" s="17"/>
      <x:c r="M413" s="17"/>
      <x:c r="N413" s="12" t="str">
        <x:v>BV13-02-jamabandi.jpg</x:v>
      </x:c>
      <x:c r="O413" s="12" t="str">
        <x:v>mild-blur</x:v>
      </x:c>
    </x:row>
    <x:row r="414" ht="60" customHeight="1">
      <x:c r="A414" s="12" t="str">
        <x:v>BV13</x:v>
      </x:c>
      <x:c r="B414" s="12" t="str">
        <x:v>BV13-D2</x:v>
      </x:c>
      <x:c r="C414" s="12" t="str">
        <x:v>thana</x:v>
      </x:c>
      <x:c r="D414" s="12" t="str">
        <x:v>Omit</x:v>
      </x:c>
      <x:c r="E414" s="13"/>
      <x:c r="F414" s="14"/>
      <x:c r="G414" s="12"/>
      <x:c r="H414" s="15"/>
      <x:c r="I414" s="16"/>
      <x:c r="J414" s="17"/>
      <x:c r="K414" s="17"/>
      <x:c r="L414" s="17"/>
      <x:c r="M414" s="17"/>
      <x:c r="N414" s="12" t="str">
        <x:v>BV13-02-jamabandi.jpg</x:v>
      </x:c>
      <x:c r="O414" s="12" t="str">
        <x:v>Not stated in this file</x:v>
      </x:c>
    </x:row>
    <x:row r="415" ht="60" customHeight="1">
      <x:c r="A415" s="12" t="str">
        <x:v>BV13</x:v>
      </x:c>
      <x:c r="B415" s="12" t="str">
        <x:v>BV13-D2</x:v>
      </x:c>
      <x:c r="C415" s="12" t="str">
        <x:v>khata</x:v>
      </x:c>
      <x:c r="D415" s="12" t="str">
        <x:v>Extract</x:v>
      </x:c>
      <x:c r="E415" s="24" t="str">
        <x:v>0068</x:v>
      </x:c>
      <x:c r="F415" s="14" t="n">
        <x:v>1</x:v>
      </x:c>
      <x:c r="G415" s="12" t="str">
        <x:v>Khata: 0068</x:v>
      </x:c>
      <x:c r="H415" s="15"/>
      <x:c r="I415" s="16"/>
      <x:c r="J415" s="17"/>
      <x:c r="K415" s="17"/>
      <x:c r="L415" s="17"/>
      <x:c r="M415" s="17"/>
      <x:c r="N415" s="12" t="str">
        <x:v>BV13-02-jamabandi.jpg</x:v>
      </x:c>
      <x:c r="O415" s="12" t="str">
        <x:v>mild-blur</x:v>
      </x:c>
    </x:row>
    <x:row r="416" ht="60" customHeight="1">
      <x:c r="A416" s="12" t="str">
        <x:v>BV13</x:v>
      </x:c>
      <x:c r="B416" s="12" t="str">
        <x:v>BV13-D2</x:v>
      </x:c>
      <x:c r="C416" s="12" t="str">
        <x:v>khesra</x:v>
      </x:c>
      <x:c r="D416" s="12" t="str">
        <x:v>Extract</x:v>
      </x:c>
      <x:c r="E416" s="24" t="str">
        <x:v>0527</x:v>
      </x:c>
      <x:c r="F416" s="14" t="n">
        <x:v>1</x:v>
      </x:c>
      <x:c r="G416" s="12" t="str">
        <x:v>Khesra: 0527</x:v>
      </x:c>
      <x:c r="H416" s="15"/>
      <x:c r="I416" s="16"/>
      <x:c r="J416" s="17"/>
      <x:c r="K416" s="17"/>
      <x:c r="L416" s="17"/>
      <x:c r="M416" s="17"/>
      <x:c r="N416" s="12" t="str">
        <x:v>BV13-02-jamabandi.jpg</x:v>
      </x:c>
      <x:c r="O416" s="12" t="str">
        <x:v>mild-blur</x:v>
      </x:c>
    </x:row>
    <x:row r="417" ht="60" customHeight="1">
      <x:c r="A417" s="12" t="str">
        <x:v>BV13</x:v>
      </x:c>
      <x:c r="B417" s="12" t="str">
        <x:v>BV13-D2</x:v>
      </x:c>
      <x:c r="C417" s="12" t="str">
        <x:v>jamabandi</x:v>
      </x:c>
      <x:c r="D417" s="12" t="str">
        <x:v>Extract</x:v>
      </x:c>
      <x:c r="E417" s="13" t="str">
        <x:v>DEMO-JB-1313</x:v>
      </x:c>
      <x:c r="F417" s="14" t="n">
        <x:v>1</x:v>
      </x:c>
      <x:c r="G417" s="12" t="str">
        <x:v>Jamabandi reference: DEMO-JB-1313</x:v>
      </x:c>
      <x:c r="H417" s="15"/>
      <x:c r="I417" s="16"/>
      <x:c r="J417" s="17"/>
      <x:c r="K417" s="17"/>
      <x:c r="L417" s="17"/>
      <x:c r="M417" s="17"/>
      <x:c r="N417" s="12" t="str">
        <x:v>BV13-02-jamabandi.jpg</x:v>
      </x:c>
      <x:c r="O417" s="12" t="str">
        <x:v>mild-blur</x:v>
      </x:c>
    </x:row>
    <x:row r="418" ht="60" customHeight="1">
      <x:c r="A418" s="12" t="str">
        <x:v>BV13</x:v>
      </x:c>
      <x:c r="B418" s="12" t="str">
        <x:v>BV13-D2</x:v>
      </x:c>
      <x:c r="C418" s="12" t="str">
        <x:v>area</x:v>
      </x:c>
      <x:c r="D418" s="12" t="str">
        <x:v>Extract</x:v>
      </x:c>
      <x:c r="E418" s="13" t="str">
        <x:v>24</x:v>
      </x:c>
      <x:c r="F418" s="14" t="n">
        <x:v>1</x:v>
      </x:c>
      <x:c r="G418" s="12" t="str">
        <x:v>Area: 24</x:v>
      </x:c>
      <x:c r="H418" s="15"/>
      <x:c r="I418" s="16"/>
      <x:c r="J418" s="17"/>
      <x:c r="K418" s="17"/>
      <x:c r="L418" s="17"/>
      <x:c r="M418" s="17"/>
      <x:c r="N418" s="12" t="str">
        <x:v>BV13-02-jamabandi.jpg</x:v>
      </x:c>
      <x:c r="O418" s="12" t="str">
        <x:v>mild-blur</x:v>
      </x:c>
    </x:row>
    <x:row r="419" ht="60" customHeight="1">
      <x:c r="A419" s="12" t="str">
        <x:v>BV13</x:v>
      </x:c>
      <x:c r="B419" s="12" t="str">
        <x:v>BV13-D2</x:v>
      </x:c>
      <x:c r="C419" s="12" t="str">
        <x:v>areaUnit</x:v>
      </x:c>
      <x:c r="D419" s="12" t="str">
        <x:v>Extract</x:v>
      </x:c>
      <x:c r="E419" s="13" t="str">
        <x:v>decimal</x:v>
      </x:c>
      <x:c r="F419" s="14" t="n">
        <x:v>1</x:v>
      </x:c>
      <x:c r="G419" s="12" t="str">
        <x:v>Area unit: decimal</x:v>
      </x:c>
      <x:c r="H419" s="15"/>
      <x:c r="I419" s="16"/>
      <x:c r="J419" s="17"/>
      <x:c r="K419" s="17"/>
      <x:c r="L419" s="17"/>
      <x:c r="M419" s="17"/>
      <x:c r="N419" s="12" t="str">
        <x:v>BV13-02-jamabandi.jpg</x:v>
      </x:c>
      <x:c r="O419" s="12" t="str">
        <x:v>mild-blur</x:v>
      </x:c>
    </x:row>
    <x:row r="420" ht="60" customHeight="1">
      <x:c r="A420" s="12" t="str">
        <x:v>BV13</x:v>
      </x:c>
      <x:c r="B420" s="12" t="str">
        <x:v>BV13-D2</x:v>
      </x:c>
      <x:c r="C420" s="12" t="str">
        <x:v>date</x:v>
      </x:c>
      <x:c r="D420" s="12" t="str">
        <x:v>Extract</x:v>
      </x:c>
      <x:c r="E420" s="13" t="str">
        <x:v>2025-01-06</x:v>
      </x:c>
      <x:c r="F420" s="14" t="n">
        <x:v>1</x:v>
      </x:c>
      <x:c r="G420" s="12" t="str">
        <x:v>Document date: 2025-01-06</x:v>
      </x:c>
      <x:c r="H420" s="15"/>
      <x:c r="I420" s="16"/>
      <x:c r="J420" s="17"/>
      <x:c r="K420" s="17"/>
      <x:c r="L420" s="17"/>
      <x:c r="M420" s="17"/>
      <x:c r="N420" s="12" t="str">
        <x:v>BV13-02-jamabandi.jpg</x:v>
      </x:c>
      <x:c r="O420" s="12" t="str">
        <x:v>mild-blur</x:v>
      </x:c>
    </x:row>
    <x:row r="421" ht="60" customHeight="1">
      <x:c r="A421" s="12" t="str">
        <x:v>BV13</x:v>
      </x:c>
      <x:c r="B421" s="12" t="str">
        <x:v>BV13-D2</x:v>
      </x:c>
      <x:c r="C421" s="12" t="str">
        <x:v>mutationStatus</x:v>
      </x:c>
      <x:c r="D421" s="12" t="str">
        <x:v>Omit</x:v>
      </x:c>
      <x:c r="E421" s="13"/>
      <x:c r="F421" s="14"/>
      <x:c r="G421" s="12"/>
      <x:c r="H421" s="15"/>
      <x:c r="I421" s="16"/>
      <x:c r="J421" s="17"/>
      <x:c r="K421" s="17"/>
      <x:c r="L421" s="17"/>
      <x:c r="M421" s="17"/>
      <x:c r="N421" s="12" t="str">
        <x:v>BV13-02-jamabandi.jpg</x:v>
      </x:c>
      <x:c r="O421" s="12" t="str">
        <x:v>Not stated in this file</x:v>
      </x:c>
    </x:row>
    <x:row r="422" ht="60" customHeight="1">
      <x:c r="A422" s="12" t="str">
        <x:v>BV13</x:v>
      </x:c>
      <x:c r="B422" s="12" t="str">
        <x:v>BV13-D2</x:v>
      </x:c>
      <x:c r="C422" s="12" t="str">
        <x:v>mortgage</x:v>
      </x:c>
      <x:c r="D422" s="12" t="str">
        <x:v>Omit</x:v>
      </x:c>
      <x:c r="E422" s="13"/>
      <x:c r="F422" s="14"/>
      <x:c r="G422" s="12"/>
      <x:c r="H422" s="15"/>
      <x:c r="I422" s="16"/>
      <x:c r="J422" s="17"/>
      <x:c r="K422" s="17"/>
      <x:c r="L422" s="17"/>
      <x:c r="M422" s="17"/>
      <x:c r="N422" s="12" t="str">
        <x:v>BV13-02-jamabandi.jpg</x:v>
      </x:c>
      <x:c r="O422" s="12" t="str">
        <x:v>Not stated in this file</x:v>
      </x:c>
    </x:row>
    <x:row r="423" ht="60" customHeight="1">
      <x:c r="A423" s="12" t="str">
        <x:v>BV13</x:v>
      </x:c>
      <x:c r="B423" s="12" t="str">
        <x:v>BV13-D2</x:v>
      </x:c>
      <x:c r="C423" s="12" t="str">
        <x:v>boundaries</x:v>
      </x:c>
      <x:c r="D423" s="12" t="str">
        <x:v>Omit</x:v>
      </x:c>
      <x:c r="E423" s="13"/>
      <x:c r="F423" s="14"/>
      <x:c r="G423" s="12"/>
      <x:c r="H423" s="15"/>
      <x:c r="I423" s="16"/>
      <x:c r="J423" s="17"/>
      <x:c r="K423" s="17"/>
      <x:c r="L423" s="17"/>
      <x:c r="M423" s="17"/>
      <x:c r="N423" s="12" t="str">
        <x:v>BV13-02-jamabandi.jpg</x:v>
      </x:c>
      <x:c r="O423" s="12" t="str">
        <x:v>Not stated in this file</x:v>
      </x:c>
    </x:row>
    <x:row r="424" ht="60" customHeight="1">
      <x:c r="A424" s="18" t="str">
        <x:v>BV14</x:v>
      </x:c>
      <x:c r="B424" s="18" t="str">
        <x:v>BV14-D1</x:v>
      </x:c>
      <x:c r="C424" s="18" t="str">
        <x:v>owner</x:v>
      </x:c>
      <x:c r="D424" s="18" t="str">
        <x:v>Omit</x:v>
      </x:c>
      <x:c r="E424" s="19"/>
      <x:c r="F424" s="20"/>
      <x:c r="G424" s="18"/>
      <x:c r="H424" s="21"/>
      <x:c r="I424" s="22"/>
      <x:c r="J424" s="23"/>
      <x:c r="K424" s="23"/>
      <x:c r="L424" s="23"/>
      <x:c r="M424" s="23"/>
      <x:c r="N424" s="18" t="str">
        <x:v>BV14-01-sale-deed.png</x:v>
      </x:c>
      <x:c r="O424" s="18" t="str">
        <x:v>Not stated in this file</x:v>
      </x:c>
    </x:row>
    <x:row r="425" ht="60" customHeight="1">
      <x:c r="A425" s="12" t="str">
        <x:v>BV14</x:v>
      </x:c>
      <x:c r="B425" s="12" t="str">
        <x:v>BV14-D1</x:v>
      </x:c>
      <x:c r="C425" s="12" t="str">
        <x:v>seller</x:v>
      </x:c>
      <x:c r="D425" s="12" t="str">
        <x:v>Extract</x:v>
      </x:c>
      <x:c r="E425" s="13" t="str">
        <x:v>Nikhil Demo</x:v>
      </x:c>
      <x:c r="F425" s="14" t="n">
        <x:v>1</x:v>
      </x:c>
      <x:c r="G425" s="12" t="str">
        <x:v>Seller: Nikhil Demo</x:v>
      </x:c>
      <x:c r="H425" s="15"/>
      <x:c r="I425" s="16"/>
      <x:c r="J425" s="17"/>
      <x:c r="K425" s="17"/>
      <x:c r="L425" s="17"/>
      <x:c r="M425" s="17"/>
      <x:c r="N425" s="12" t="str">
        <x:v>BV14-01-sale-deed.png</x:v>
      </x:c>
      <x:c r="O425" s="12" t="str">
        <x:v>masked</x:v>
      </x:c>
    </x:row>
    <x:row r="426" ht="60" customHeight="1">
      <x:c r="A426" s="12" t="str">
        <x:v>BV14</x:v>
      </x:c>
      <x:c r="B426" s="12" t="str">
        <x:v>BV14-D1</x:v>
      </x:c>
      <x:c r="C426" s="12" t="str">
        <x:v>buyer</x:v>
      </x:c>
      <x:c r="D426" s="12" t="str">
        <x:v>Extract</x:v>
      </x:c>
      <x:c r="E426" s="13" t="str">
        <x:v>Pooja Demo</x:v>
      </x:c>
      <x:c r="F426" s="14" t="n">
        <x:v>1</x:v>
      </x:c>
      <x:c r="G426" s="12" t="str">
        <x:v>Buyer: Pooja Demo</x:v>
      </x:c>
      <x:c r="H426" s="15"/>
      <x:c r="I426" s="16"/>
      <x:c r="J426" s="17"/>
      <x:c r="K426" s="17"/>
      <x:c r="L426" s="17"/>
      <x:c r="M426" s="17"/>
      <x:c r="N426" s="12" t="str">
        <x:v>BV14-01-sale-deed.png</x:v>
      </x:c>
      <x:c r="O426" s="12" t="str">
        <x:v>masked</x:v>
      </x:c>
    </x:row>
    <x:row r="427" ht="60" customHeight="1">
      <x:c r="A427" s="12" t="str">
        <x:v>BV14</x:v>
      </x:c>
      <x:c r="B427" s="12" t="str">
        <x:v>BV14-D1</x:v>
      </x:c>
      <x:c r="C427" s="12" t="str">
        <x:v>district</x:v>
      </x:c>
      <x:c r="D427" s="12" t="str">
        <x:v>Extract</x:v>
      </x:c>
      <x:c r="E427" s="13" t="str">
        <x:v>Bhojpur</x:v>
      </x:c>
      <x:c r="F427" s="14" t="n">
        <x:v>1</x:v>
      </x:c>
      <x:c r="G427" s="12" t="str">
        <x:v>District: Bhojpur</x:v>
      </x:c>
      <x:c r="H427" s="15"/>
      <x:c r="I427" s="16"/>
      <x:c r="J427" s="17"/>
      <x:c r="K427" s="17"/>
      <x:c r="L427" s="17"/>
      <x:c r="M427" s="17"/>
      <x:c r="N427" s="12" t="str">
        <x:v>BV14-01-sale-deed.png</x:v>
      </x:c>
      <x:c r="O427" s="12" t="str">
        <x:v>masked</x:v>
      </x:c>
    </x:row>
    <x:row r="428" ht="60" customHeight="1">
      <x:c r="A428" s="12" t="str">
        <x:v>BV14</x:v>
      </x:c>
      <x:c r="B428" s="12" t="str">
        <x:v>BV14-D1</x:v>
      </x:c>
      <x:c r="C428" s="12" t="str">
        <x:v>circle</x:v>
      </x:c>
      <x:c r="D428" s="12" t="str">
        <x:v>Extract</x:v>
      </x:c>
      <x:c r="E428" s="13" t="str">
        <x:v>Arrah</x:v>
      </x:c>
      <x:c r="F428" s="14" t="n">
        <x:v>1</x:v>
      </x:c>
      <x:c r="G428" s="12" t="str">
        <x:v>Anchal / circle: Arrah</x:v>
      </x:c>
      <x:c r="H428" s="15"/>
      <x:c r="I428" s="16"/>
      <x:c r="J428" s="17"/>
      <x:c r="K428" s="17"/>
      <x:c r="L428" s="17"/>
      <x:c r="M428" s="17"/>
      <x:c r="N428" s="12" t="str">
        <x:v>BV14-01-sale-deed.png</x:v>
      </x:c>
      <x:c r="O428" s="12" t="str">
        <x:v>masked</x:v>
      </x:c>
    </x:row>
    <x:row r="429" ht="60" customHeight="1">
      <x:c r="A429" s="12" t="str">
        <x:v>BV14</x:v>
      </x:c>
      <x:c r="B429" s="12" t="str">
        <x:v>BV14-D1</x:v>
      </x:c>
      <x:c r="C429" s="12" t="str">
        <x:v>mauza</x:v>
      </x:c>
      <x:c r="D429" s="12" t="str">
        <x:v>Extract</x:v>
      </x:c>
      <x:c r="E429" s="13" t="str">
        <x:v>Kshitij Demo Mauza</x:v>
      </x:c>
      <x:c r="F429" s="14" t="n">
        <x:v>1</x:v>
      </x:c>
      <x:c r="G429" s="12" t="str">
        <x:v>Mauza (fictional village): Kshitij Demo Mauza</x:v>
      </x:c>
      <x:c r="H429" s="15"/>
      <x:c r="I429" s="16"/>
      <x:c r="J429" s="17"/>
      <x:c r="K429" s="17"/>
      <x:c r="L429" s="17"/>
      <x:c r="M429" s="17"/>
      <x:c r="N429" s="12" t="str">
        <x:v>BV14-01-sale-deed.png</x:v>
      </x:c>
      <x:c r="O429" s="12" t="str">
        <x:v>masked</x:v>
      </x:c>
    </x:row>
    <x:row r="430" ht="60" customHeight="1">
      <x:c r="A430" s="12" t="str">
        <x:v>BV14</x:v>
      </x:c>
      <x:c r="B430" s="12" t="str">
        <x:v>BV14-D1</x:v>
      </x:c>
      <x:c r="C430" s="12" t="str">
        <x:v>thana</x:v>
      </x:c>
      <x:c r="D430" s="12" t="str">
        <x:v>Omit</x:v>
      </x:c>
      <x:c r="E430" s="13"/>
      <x:c r="F430" s="14"/>
      <x:c r="G430" s="12"/>
      <x:c r="H430" s="15"/>
      <x:c r="I430" s="16"/>
      <x:c r="J430" s="17"/>
      <x:c r="K430" s="17"/>
      <x:c r="L430" s="17"/>
      <x:c r="M430" s="17"/>
      <x:c r="N430" s="12" t="str">
        <x:v>BV14-01-sale-deed.png</x:v>
      </x:c>
      <x:c r="O430" s="12" t="str">
        <x:v>Not stated in this file</x:v>
      </x:c>
    </x:row>
    <x:row r="431" ht="60" customHeight="1">
      <x:c r="A431" s="12" t="str">
        <x:v>BV14</x:v>
      </x:c>
      <x:c r="B431" s="12" t="str">
        <x:v>BV14-D1</x:v>
      </x:c>
      <x:c r="C431" s="12" t="str">
        <x:v>khata</x:v>
      </x:c>
      <x:c r="D431" s="12" t="str">
        <x:v>Extract</x:v>
      </x:c>
      <x:c r="E431" s="24" t="str">
        <x:v>0095</x:v>
      </x:c>
      <x:c r="F431" s="14" t="n">
        <x:v>1</x:v>
      </x:c>
      <x:c r="G431" s="12" t="str">
        <x:v>Khata: 0095</x:v>
      </x:c>
      <x:c r="H431" s="15"/>
      <x:c r="I431" s="16"/>
      <x:c r="J431" s="17"/>
      <x:c r="K431" s="17"/>
      <x:c r="L431" s="17"/>
      <x:c r="M431" s="17"/>
      <x:c r="N431" s="12" t="str">
        <x:v>BV14-01-sale-deed.png</x:v>
      </x:c>
      <x:c r="O431" s="12" t="str">
        <x:v>masked</x:v>
      </x:c>
    </x:row>
    <x:row r="432" ht="60" customHeight="1">
      <x:c r="A432" s="12" t="str">
        <x:v>BV14</x:v>
      </x:c>
      <x:c r="B432" s="12" t="str">
        <x:v>BV14-D1</x:v>
      </x:c>
      <x:c r="C432" s="12" t="str">
        <x:v>khesra</x:v>
      </x:c>
      <x:c r="D432" s="12" t="str">
        <x:v>Omit</x:v>
      </x:c>
      <x:c r="E432" s="13"/>
      <x:c r="F432" s="14"/>
      <x:c r="G432" s="12"/>
      <x:c r="H432" s="15"/>
      <x:c r="I432" s="16"/>
      <x:c r="J432" s="17"/>
      <x:c r="K432" s="17"/>
      <x:c r="L432" s="17"/>
      <x:c r="M432" s="17"/>
      <x:c r="N432" s="12" t="str">
        <x:v>BV14-01-sale-deed.png</x:v>
      </x:c>
      <x:c r="O432" s="12" t="str">
        <x:v>Unreadable in this file</x:v>
      </x:c>
    </x:row>
    <x:row r="433" ht="60" customHeight="1">
      <x:c r="A433" s="12" t="str">
        <x:v>BV14</x:v>
      </x:c>
      <x:c r="B433" s="12" t="str">
        <x:v>BV14-D1</x:v>
      </x:c>
      <x:c r="C433" s="12" t="str">
        <x:v>jamabandi</x:v>
      </x:c>
      <x:c r="D433" s="12" t="str">
        <x:v>Omit</x:v>
      </x:c>
      <x:c r="E433" s="13"/>
      <x:c r="F433" s="14"/>
      <x:c r="G433" s="12"/>
      <x:c r="H433" s="15"/>
      <x:c r="I433" s="16"/>
      <x:c r="J433" s="17"/>
      <x:c r="K433" s="17"/>
      <x:c r="L433" s="17"/>
      <x:c r="M433" s="17"/>
      <x:c r="N433" s="12" t="str">
        <x:v>BV14-01-sale-deed.png</x:v>
      </x:c>
      <x:c r="O433" s="12" t="str">
        <x:v>Not stated in this file</x:v>
      </x:c>
    </x:row>
    <x:row r="434" ht="60" customHeight="1">
      <x:c r="A434" s="12" t="str">
        <x:v>BV14</x:v>
      </x:c>
      <x:c r="B434" s="12" t="str">
        <x:v>BV14-D1</x:v>
      </x:c>
      <x:c r="C434" s="12" t="str">
        <x:v>area</x:v>
      </x:c>
      <x:c r="D434" s="12" t="str">
        <x:v>Omit</x:v>
      </x:c>
      <x:c r="E434" s="13"/>
      <x:c r="F434" s="14"/>
      <x:c r="G434" s="12"/>
      <x:c r="H434" s="15"/>
      <x:c r="I434" s="16"/>
      <x:c r="J434" s="17"/>
      <x:c r="K434" s="17"/>
      <x:c r="L434" s="17"/>
      <x:c r="M434" s="17"/>
      <x:c r="N434" s="12" t="str">
        <x:v>BV14-01-sale-deed.png</x:v>
      </x:c>
      <x:c r="O434" s="12" t="str">
        <x:v>Unreadable in this file</x:v>
      </x:c>
    </x:row>
    <x:row r="435" ht="60" customHeight="1">
      <x:c r="A435" s="12" t="str">
        <x:v>BV14</x:v>
      </x:c>
      <x:c r="B435" s="12" t="str">
        <x:v>BV14-D1</x:v>
      </x:c>
      <x:c r="C435" s="12" t="str">
        <x:v>areaUnit</x:v>
      </x:c>
      <x:c r="D435" s="12" t="str">
        <x:v>Extract</x:v>
      </x:c>
      <x:c r="E435" s="13" t="str">
        <x:v>decimal</x:v>
      </x:c>
      <x:c r="F435" s="14" t="n">
        <x:v>1</x:v>
      </x:c>
      <x:c r="G435" s="12" t="str">
        <x:v>Area unit: decimal</x:v>
      </x:c>
      <x:c r="H435" s="15"/>
      <x:c r="I435" s="16"/>
      <x:c r="J435" s="17"/>
      <x:c r="K435" s="17"/>
      <x:c r="L435" s="17"/>
      <x:c r="M435" s="17"/>
      <x:c r="N435" s="12" t="str">
        <x:v>BV14-01-sale-deed.png</x:v>
      </x:c>
      <x:c r="O435" s="12" t="str">
        <x:v>masked</x:v>
      </x:c>
    </x:row>
    <x:row r="436" ht="60" customHeight="1">
      <x:c r="A436" s="12" t="str">
        <x:v>BV14</x:v>
      </x:c>
      <x:c r="B436" s="12" t="str">
        <x:v>BV14-D1</x:v>
      </x:c>
      <x:c r="C436" s="12" t="str">
        <x:v>date</x:v>
      </x:c>
      <x:c r="D436" s="12" t="str">
        <x:v>Extract</x:v>
      </x:c>
      <x:c r="E436" s="13" t="str">
        <x:v>2025-03-12</x:v>
      </x:c>
      <x:c r="F436" s="14" t="n">
        <x:v>1</x:v>
      </x:c>
      <x:c r="G436" s="12" t="str">
        <x:v>Document date: 2025-03-12</x:v>
      </x:c>
      <x:c r="H436" s="15"/>
      <x:c r="I436" s="16"/>
      <x:c r="J436" s="17"/>
      <x:c r="K436" s="17"/>
      <x:c r="L436" s="17"/>
      <x:c r="M436" s="17"/>
      <x:c r="N436" s="12" t="str">
        <x:v>BV14-01-sale-deed.png</x:v>
      </x:c>
      <x:c r="O436" s="12" t="str">
        <x:v>masked</x:v>
      </x:c>
    </x:row>
    <x:row r="437" ht="60" customHeight="1">
      <x:c r="A437" s="12" t="str">
        <x:v>BV14</x:v>
      </x:c>
      <x:c r="B437" s="12" t="str">
        <x:v>BV14-D1</x:v>
      </x:c>
      <x:c r="C437" s="12" t="str">
        <x:v>mutationStatus</x:v>
      </x:c>
      <x:c r="D437" s="12" t="str">
        <x:v>Omit</x:v>
      </x:c>
      <x:c r="E437" s="13"/>
      <x:c r="F437" s="14"/>
      <x:c r="G437" s="12"/>
      <x:c r="H437" s="15"/>
      <x:c r="I437" s="16"/>
      <x:c r="J437" s="17"/>
      <x:c r="K437" s="17"/>
      <x:c r="L437" s="17"/>
      <x:c r="M437" s="17"/>
      <x:c r="N437" s="12" t="str">
        <x:v>BV14-01-sale-deed.png</x:v>
      </x:c>
      <x:c r="O437" s="12" t="str">
        <x:v>Not stated in this file</x:v>
      </x:c>
    </x:row>
    <x:row r="438" ht="60" customHeight="1">
      <x:c r="A438" s="12" t="str">
        <x:v>BV14</x:v>
      </x:c>
      <x:c r="B438" s="12" t="str">
        <x:v>BV14-D1</x:v>
      </x:c>
      <x:c r="C438" s="12" t="str">
        <x:v>mortgage</x:v>
      </x:c>
      <x:c r="D438" s="12" t="str">
        <x:v>Omit</x:v>
      </x:c>
      <x:c r="E438" s="13"/>
      <x:c r="F438" s="14"/>
      <x:c r="G438" s="12"/>
      <x:c r="H438" s="15"/>
      <x:c r="I438" s="16"/>
      <x:c r="J438" s="17"/>
      <x:c r="K438" s="17"/>
      <x:c r="L438" s="17"/>
      <x:c r="M438" s="17"/>
      <x:c r="N438" s="12" t="str">
        <x:v>BV14-01-sale-deed.png</x:v>
      </x:c>
      <x:c r="O438" s="12" t="str">
        <x:v>Not stated in this file</x:v>
      </x:c>
    </x:row>
    <x:row r="439" ht="60" customHeight="1">
      <x:c r="A439" s="12" t="str">
        <x:v>BV14</x:v>
      </x:c>
      <x:c r="B439" s="12" t="str">
        <x:v>BV14-D1</x:v>
      </x:c>
      <x:c r="C439" s="12" t="str">
        <x:v>boundaries</x:v>
      </x:c>
      <x:c r="D439" s="12" t="str">
        <x:v>Omit</x:v>
      </x:c>
      <x:c r="E439" s="13"/>
      <x:c r="F439" s="14"/>
      <x:c r="G439" s="12"/>
      <x:c r="H439" s="15"/>
      <x:c r="I439" s="16"/>
      <x:c r="J439" s="17"/>
      <x:c r="K439" s="17"/>
      <x:c r="L439" s="17"/>
      <x:c r="M439" s="17"/>
      <x:c r="N439" s="12" t="str">
        <x:v>BV14-01-sale-deed.png</x:v>
      </x:c>
      <x:c r="O439" s="12" t="str">
        <x:v>Not stated in this file</x:v>
      </x:c>
    </x:row>
    <x:row r="440" ht="60" customHeight="1">
      <x:c r="A440" s="18" t="str">
        <x:v>BV14</x:v>
      </x:c>
      <x:c r="B440" s="18" t="str">
        <x:v>BV14-D2</x:v>
      </x:c>
      <x:c r="C440" s="18" t="str">
        <x:v>owner</x:v>
      </x:c>
      <x:c r="D440" s="18" t="str">
        <x:v>Extract</x:v>
      </x:c>
      <x:c r="E440" s="19" t="str">
        <x:v>Pooja Demo</x:v>
      </x:c>
      <x:c r="F440" s="20" t="n">
        <x:v>1</x:v>
      </x:c>
      <x:c r="G440" s="18" t="str">
        <x:v>Recorded owner: Pooja Demo</x:v>
      </x:c>
      <x:c r="H440" s="21"/>
      <x:c r="I440" s="22"/>
      <x:c r="J440" s="23"/>
      <x:c r="K440" s="23"/>
      <x:c r="L440" s="23"/>
      <x:c r="M440" s="23"/>
      <x:c r="N440" s="18" t="str">
        <x:v>BV14-02-jamabandi.png</x:v>
      </x:c>
      <x:c r="O440" s="18" t="str">
        <x:v>clear</x:v>
      </x:c>
    </x:row>
    <x:row r="441" ht="60" customHeight="1">
      <x:c r="A441" s="12" t="str">
        <x:v>BV14</x:v>
      </x:c>
      <x:c r="B441" s="12" t="str">
        <x:v>BV14-D2</x:v>
      </x:c>
      <x:c r="C441" s="12" t="str">
        <x:v>seller</x:v>
      </x:c>
      <x:c r="D441" s="12" t="str">
        <x:v>Omit</x:v>
      </x:c>
      <x:c r="E441" s="13"/>
      <x:c r="F441" s="14"/>
      <x:c r="G441" s="12"/>
      <x:c r="H441" s="15"/>
      <x:c r="I441" s="16"/>
      <x:c r="J441" s="17"/>
      <x:c r="K441" s="17"/>
      <x:c r="L441" s="17"/>
      <x:c r="M441" s="17"/>
      <x:c r="N441" s="12" t="str">
        <x:v>BV14-02-jamabandi.png</x:v>
      </x:c>
      <x:c r="O441" s="12" t="str">
        <x:v>Not stated in this file</x:v>
      </x:c>
    </x:row>
    <x:row r="442" ht="60" customHeight="1">
      <x:c r="A442" s="12" t="str">
        <x:v>BV14</x:v>
      </x:c>
      <x:c r="B442" s="12" t="str">
        <x:v>BV14-D2</x:v>
      </x:c>
      <x:c r="C442" s="12" t="str">
        <x:v>buyer</x:v>
      </x:c>
      <x:c r="D442" s="12" t="str">
        <x:v>Omit</x:v>
      </x:c>
      <x:c r="E442" s="13"/>
      <x:c r="F442" s="14"/>
      <x:c r="G442" s="12"/>
      <x:c r="H442" s="15"/>
      <x:c r="I442" s="16"/>
      <x:c r="J442" s="17"/>
      <x:c r="K442" s="17"/>
      <x:c r="L442" s="17"/>
      <x:c r="M442" s="17"/>
      <x:c r="N442" s="12" t="str">
        <x:v>BV14-02-jamabandi.png</x:v>
      </x:c>
      <x:c r="O442" s="12" t="str">
        <x:v>Not stated in this file</x:v>
      </x:c>
    </x:row>
    <x:row r="443" ht="60" customHeight="1">
      <x:c r="A443" s="12" t="str">
        <x:v>BV14</x:v>
      </x:c>
      <x:c r="B443" s="12" t="str">
        <x:v>BV14-D2</x:v>
      </x:c>
      <x:c r="C443" s="12" t="str">
        <x:v>district</x:v>
      </x:c>
      <x:c r="D443" s="12" t="str">
        <x:v>Extract</x:v>
      </x:c>
      <x:c r="E443" s="13" t="str">
        <x:v>Bhojpur</x:v>
      </x:c>
      <x:c r="F443" s="14" t="n">
        <x:v>1</x:v>
      </x:c>
      <x:c r="G443" s="12" t="str">
        <x:v>District: Bhojpur</x:v>
      </x:c>
      <x:c r="H443" s="15"/>
      <x:c r="I443" s="16"/>
      <x:c r="J443" s="17"/>
      <x:c r="K443" s="17"/>
      <x:c r="L443" s="17"/>
      <x:c r="M443" s="17"/>
      <x:c r="N443" s="12" t="str">
        <x:v>BV14-02-jamabandi.png</x:v>
      </x:c>
      <x:c r="O443" s="12" t="str">
        <x:v>clear</x:v>
      </x:c>
    </x:row>
    <x:row r="444" ht="60" customHeight="1">
      <x:c r="A444" s="12" t="str">
        <x:v>BV14</x:v>
      </x:c>
      <x:c r="B444" s="12" t="str">
        <x:v>BV14-D2</x:v>
      </x:c>
      <x:c r="C444" s="12" t="str">
        <x:v>circle</x:v>
      </x:c>
      <x:c r="D444" s="12" t="str">
        <x:v>Extract</x:v>
      </x:c>
      <x:c r="E444" s="13" t="str">
        <x:v>Arrah</x:v>
      </x:c>
      <x:c r="F444" s="14" t="n">
        <x:v>1</x:v>
      </x:c>
      <x:c r="G444" s="12" t="str">
        <x:v>Anchal / circle: Arrah</x:v>
      </x:c>
      <x:c r="H444" s="15"/>
      <x:c r="I444" s="16"/>
      <x:c r="J444" s="17"/>
      <x:c r="K444" s="17"/>
      <x:c r="L444" s="17"/>
      <x:c r="M444" s="17"/>
      <x:c r="N444" s="12" t="str">
        <x:v>BV14-02-jamabandi.png</x:v>
      </x:c>
      <x:c r="O444" s="12" t="str">
        <x:v>clear</x:v>
      </x:c>
    </x:row>
    <x:row r="445" ht="60" customHeight="1">
      <x:c r="A445" s="12" t="str">
        <x:v>BV14</x:v>
      </x:c>
      <x:c r="B445" s="12" t="str">
        <x:v>BV14-D2</x:v>
      </x:c>
      <x:c r="C445" s="12" t="str">
        <x:v>mauza</x:v>
      </x:c>
      <x:c r="D445" s="12" t="str">
        <x:v>Extract</x:v>
      </x:c>
      <x:c r="E445" s="13" t="str">
        <x:v>Kshitij Demo Mauza</x:v>
      </x:c>
      <x:c r="F445" s="14" t="n">
        <x:v>1</x:v>
      </x:c>
      <x:c r="G445" s="12" t="str">
        <x:v>Mauza (fictional village): Kshitij Demo Mauza</x:v>
      </x:c>
      <x:c r="H445" s="15"/>
      <x:c r="I445" s="16"/>
      <x:c r="J445" s="17"/>
      <x:c r="K445" s="17"/>
      <x:c r="L445" s="17"/>
      <x:c r="M445" s="17"/>
      <x:c r="N445" s="12" t="str">
        <x:v>BV14-02-jamabandi.png</x:v>
      </x:c>
      <x:c r="O445" s="12" t="str">
        <x:v>clear</x:v>
      </x:c>
    </x:row>
    <x:row r="446" ht="60" customHeight="1">
      <x:c r="A446" s="12" t="str">
        <x:v>BV14</x:v>
      </x:c>
      <x:c r="B446" s="12" t="str">
        <x:v>BV14-D2</x:v>
      </x:c>
      <x:c r="C446" s="12" t="str">
        <x:v>thana</x:v>
      </x:c>
      <x:c r="D446" s="12" t="str">
        <x:v>Omit</x:v>
      </x:c>
      <x:c r="E446" s="13"/>
      <x:c r="F446" s="14"/>
      <x:c r="G446" s="12"/>
      <x:c r="H446" s="15"/>
      <x:c r="I446" s="16"/>
      <x:c r="J446" s="17"/>
      <x:c r="K446" s="17"/>
      <x:c r="L446" s="17"/>
      <x:c r="M446" s="17"/>
      <x:c r="N446" s="12" t="str">
        <x:v>BV14-02-jamabandi.png</x:v>
      </x:c>
      <x:c r="O446" s="12" t="str">
        <x:v>Not stated in this file</x:v>
      </x:c>
    </x:row>
    <x:row r="447" ht="60" customHeight="1">
      <x:c r="A447" s="12" t="str">
        <x:v>BV14</x:v>
      </x:c>
      <x:c r="B447" s="12" t="str">
        <x:v>BV14-D2</x:v>
      </x:c>
      <x:c r="C447" s="12" t="str">
        <x:v>khata</x:v>
      </x:c>
      <x:c r="D447" s="12" t="str">
        <x:v>Extract</x:v>
      </x:c>
      <x:c r="E447" s="24" t="str">
        <x:v>0095</x:v>
      </x:c>
      <x:c r="F447" s="14" t="n">
        <x:v>1</x:v>
      </x:c>
      <x:c r="G447" s="12" t="str">
        <x:v>Khata: 0095</x:v>
      </x:c>
      <x:c r="H447" s="15"/>
      <x:c r="I447" s="16"/>
      <x:c r="J447" s="17"/>
      <x:c r="K447" s="17"/>
      <x:c r="L447" s="17"/>
      <x:c r="M447" s="17"/>
      <x:c r="N447" s="12" t="str">
        <x:v>BV14-02-jamabandi.png</x:v>
      </x:c>
      <x:c r="O447" s="12" t="str">
        <x:v>clear</x:v>
      </x:c>
    </x:row>
    <x:row r="448" ht="60" customHeight="1">
      <x:c r="A448" s="12" t="str">
        <x:v>BV14</x:v>
      </x:c>
      <x:c r="B448" s="12" t="str">
        <x:v>BV14-D2</x:v>
      </x:c>
      <x:c r="C448" s="12" t="str">
        <x:v>khesra</x:v>
      </x:c>
      <x:c r="D448" s="12" t="str">
        <x:v>Extract</x:v>
      </x:c>
      <x:c r="E448" s="24" t="str">
        <x:v>0408</x:v>
      </x:c>
      <x:c r="F448" s="14" t="n">
        <x:v>1</x:v>
      </x:c>
      <x:c r="G448" s="12" t="str">
        <x:v>Khesra: 0408</x:v>
      </x:c>
      <x:c r="H448" s="15"/>
      <x:c r="I448" s="16"/>
      <x:c r="J448" s="17"/>
      <x:c r="K448" s="17"/>
      <x:c r="L448" s="17"/>
      <x:c r="M448" s="17"/>
      <x:c r="N448" s="12" t="str">
        <x:v>BV14-02-jamabandi.png</x:v>
      </x:c>
      <x:c r="O448" s="12" t="str">
        <x:v>clear</x:v>
      </x:c>
    </x:row>
    <x:row r="449" ht="60" customHeight="1">
      <x:c r="A449" s="12" t="str">
        <x:v>BV14</x:v>
      </x:c>
      <x:c r="B449" s="12" t="str">
        <x:v>BV14-D2</x:v>
      </x:c>
      <x:c r="C449" s="12" t="str">
        <x:v>jamabandi</x:v>
      </x:c>
      <x:c r="D449" s="12" t="str">
        <x:v>Extract</x:v>
      </x:c>
      <x:c r="E449" s="13" t="str">
        <x:v>DEMO-JB-1414</x:v>
      </x:c>
      <x:c r="F449" s="14" t="n">
        <x:v>1</x:v>
      </x:c>
      <x:c r="G449" s="12" t="str">
        <x:v>Jamabandi reference: DEMO-JB-1414</x:v>
      </x:c>
      <x:c r="H449" s="15"/>
      <x:c r="I449" s="16"/>
      <x:c r="J449" s="17"/>
      <x:c r="K449" s="17"/>
      <x:c r="L449" s="17"/>
      <x:c r="M449" s="17"/>
      <x:c r="N449" s="12" t="str">
        <x:v>BV14-02-jamabandi.png</x:v>
      </x:c>
      <x:c r="O449" s="12" t="str">
        <x:v>clear</x:v>
      </x:c>
    </x:row>
    <x:row r="450" ht="60" customHeight="1">
      <x:c r="A450" s="12" t="str">
        <x:v>BV14</x:v>
      </x:c>
      <x:c r="B450" s="12" t="str">
        <x:v>BV14-D2</x:v>
      </x:c>
      <x:c r="C450" s="12" t="str">
        <x:v>area</x:v>
      </x:c>
      <x:c r="D450" s="12" t="str">
        <x:v>Extract</x:v>
      </x:c>
      <x:c r="E450" s="13" t="str">
        <x:v>13</x:v>
      </x:c>
      <x:c r="F450" s="14" t="n">
        <x:v>1</x:v>
      </x:c>
      <x:c r="G450" s="12" t="str">
        <x:v>Area: 13</x:v>
      </x:c>
      <x:c r="H450" s="15"/>
      <x:c r="I450" s="16"/>
      <x:c r="J450" s="17"/>
      <x:c r="K450" s="17"/>
      <x:c r="L450" s="17"/>
      <x:c r="M450" s="17"/>
      <x:c r="N450" s="12" t="str">
        <x:v>BV14-02-jamabandi.png</x:v>
      </x:c>
      <x:c r="O450" s="12" t="str">
        <x:v>clear</x:v>
      </x:c>
    </x:row>
    <x:row r="451" ht="60" customHeight="1">
      <x:c r="A451" s="12" t="str">
        <x:v>BV14</x:v>
      </x:c>
      <x:c r="B451" s="12" t="str">
        <x:v>BV14-D2</x:v>
      </x:c>
      <x:c r="C451" s="12" t="str">
        <x:v>areaUnit</x:v>
      </x:c>
      <x:c r="D451" s="12" t="str">
        <x:v>Extract</x:v>
      </x:c>
      <x:c r="E451" s="13" t="str">
        <x:v>decimal</x:v>
      </x:c>
      <x:c r="F451" s="14" t="n">
        <x:v>1</x:v>
      </x:c>
      <x:c r="G451" s="12" t="str">
        <x:v>Area unit: decimal</x:v>
      </x:c>
      <x:c r="H451" s="15"/>
      <x:c r="I451" s="16"/>
      <x:c r="J451" s="17"/>
      <x:c r="K451" s="17"/>
      <x:c r="L451" s="17"/>
      <x:c r="M451" s="17"/>
      <x:c r="N451" s="12" t="str">
        <x:v>BV14-02-jamabandi.png</x:v>
      </x:c>
      <x:c r="O451" s="12" t="str">
        <x:v>clear</x:v>
      </x:c>
    </x:row>
    <x:row r="452" ht="60" customHeight="1">
      <x:c r="A452" s="12" t="str">
        <x:v>BV14</x:v>
      </x:c>
      <x:c r="B452" s="12" t="str">
        <x:v>BV14-D2</x:v>
      </x:c>
      <x:c r="C452" s="12" t="str">
        <x:v>date</x:v>
      </x:c>
      <x:c r="D452" s="12" t="str">
        <x:v>Extract</x:v>
      </x:c>
      <x:c r="E452" s="13" t="str">
        <x:v>2025-10-08</x:v>
      </x:c>
      <x:c r="F452" s="14" t="n">
        <x:v>1</x:v>
      </x:c>
      <x:c r="G452" s="12" t="str">
        <x:v>Document date: 2025-10-08</x:v>
      </x:c>
      <x:c r="H452" s="15"/>
      <x:c r="I452" s="16"/>
      <x:c r="J452" s="17"/>
      <x:c r="K452" s="17"/>
      <x:c r="L452" s="17"/>
      <x:c r="M452" s="17"/>
      <x:c r="N452" s="12" t="str">
        <x:v>BV14-02-jamabandi.png</x:v>
      </x:c>
      <x:c r="O452" s="12" t="str">
        <x:v>clear</x:v>
      </x:c>
    </x:row>
    <x:row r="453" ht="60" customHeight="1">
      <x:c r="A453" s="12" t="str">
        <x:v>BV14</x:v>
      </x:c>
      <x:c r="B453" s="12" t="str">
        <x:v>BV14-D2</x:v>
      </x:c>
      <x:c r="C453" s="12" t="str">
        <x:v>mutationStatus</x:v>
      </x:c>
      <x:c r="D453" s="12" t="str">
        <x:v>Omit</x:v>
      </x:c>
      <x:c r="E453" s="13"/>
      <x:c r="F453" s="14"/>
      <x:c r="G453" s="12"/>
      <x:c r="H453" s="15"/>
      <x:c r="I453" s="16"/>
      <x:c r="J453" s="17"/>
      <x:c r="K453" s="17"/>
      <x:c r="L453" s="17"/>
      <x:c r="M453" s="17"/>
      <x:c r="N453" s="12" t="str">
        <x:v>BV14-02-jamabandi.png</x:v>
      </x:c>
      <x:c r="O453" s="12" t="str">
        <x:v>Not stated in this file</x:v>
      </x:c>
    </x:row>
    <x:row r="454" ht="60" customHeight="1">
      <x:c r="A454" s="12" t="str">
        <x:v>BV14</x:v>
      </x:c>
      <x:c r="B454" s="12" t="str">
        <x:v>BV14-D2</x:v>
      </x:c>
      <x:c r="C454" s="12" t="str">
        <x:v>mortgage</x:v>
      </x:c>
      <x:c r="D454" s="12" t="str">
        <x:v>Omit</x:v>
      </x:c>
      <x:c r="E454" s="13"/>
      <x:c r="F454" s="14"/>
      <x:c r="G454" s="12"/>
      <x:c r="H454" s="15"/>
      <x:c r="I454" s="16"/>
      <x:c r="J454" s="17"/>
      <x:c r="K454" s="17"/>
      <x:c r="L454" s="17"/>
      <x:c r="M454" s="17"/>
      <x:c r="N454" s="12" t="str">
        <x:v>BV14-02-jamabandi.png</x:v>
      </x:c>
      <x:c r="O454" s="12" t="str">
        <x:v>Not stated in this file</x:v>
      </x:c>
    </x:row>
    <x:row r="455" ht="60" customHeight="1">
      <x:c r="A455" s="12" t="str">
        <x:v>BV14</x:v>
      </x:c>
      <x:c r="B455" s="12" t="str">
        <x:v>BV14-D2</x:v>
      </x:c>
      <x:c r="C455" s="12" t="str">
        <x:v>boundaries</x:v>
      </x:c>
      <x:c r="D455" s="12" t="str">
        <x:v>Omit</x:v>
      </x:c>
      <x:c r="E455" s="13"/>
      <x:c r="F455" s="14"/>
      <x:c r="G455" s="12"/>
      <x:c r="H455" s="15"/>
      <x:c r="I455" s="16"/>
      <x:c r="J455" s="17"/>
      <x:c r="K455" s="17"/>
      <x:c r="L455" s="17"/>
      <x:c r="M455" s="17"/>
      <x:c r="N455" s="12" t="str">
        <x:v>BV14-02-jamabandi.png</x:v>
      </x:c>
      <x:c r="O455" s="12" t="str">
        <x:v>Not stated in this file</x:v>
      </x:c>
    </x:row>
    <x:row r="456" ht="60" customHeight="1">
      <x:c r="A456" s="18" t="str">
        <x:v>BV15</x:v>
      </x:c>
      <x:c r="B456" s="18" t="str">
        <x:v>BV15-D1</x:v>
      </x:c>
      <x:c r="C456" s="18" t="str">
        <x:v>owner</x:v>
      </x:c>
      <x:c r="D456" s="18" t="str">
        <x:v>Omit</x:v>
      </x:c>
      <x:c r="E456" s="19"/>
      <x:c r="F456" s="20"/>
      <x:c r="G456" s="18"/>
      <x:c r="H456" s="21"/>
      <x:c r="I456" s="22"/>
      <x:c r="J456" s="23"/>
      <x:c r="K456" s="23"/>
      <x:c r="L456" s="23"/>
      <x:c r="M456" s="23"/>
      <x:c r="N456" s="18" t="str">
        <x:v>BV15-01-sale-deed.pdf</x:v>
      </x:c>
      <x:c r="O456" s="18" t="str">
        <x:v>Not stated in this file</x:v>
      </x:c>
    </x:row>
    <x:row r="457" ht="60" customHeight="1">
      <x:c r="A457" s="12" t="str">
        <x:v>BV15</x:v>
      </x:c>
      <x:c r="B457" s="12" t="str">
        <x:v>BV15-D1</x:v>
      </x:c>
      <x:c r="C457" s="12" t="str">
        <x:v>seller</x:v>
      </x:c>
      <x:c r="D457" s="12" t="str">
        <x:v>Extract</x:v>
      </x:c>
      <x:c r="E457" s="13" t="str">
        <x:v>Sonal Demo</x:v>
      </x:c>
      <x:c r="F457" s="14" t="n">
        <x:v>1</x:v>
      </x:c>
      <x:c r="G457" s="12" t="str">
        <x:v>Seller: Sonal Demo</x:v>
      </x:c>
      <x:c r="H457" s="15"/>
      <x:c r="I457" s="16"/>
      <x:c r="J457" s="17"/>
      <x:c r="K457" s="17"/>
      <x:c r="L457" s="17"/>
      <x:c r="M457" s="17"/>
      <x:c r="N457" s="12" t="str">
        <x:v>BV15-01-sale-deed.pdf</x:v>
      </x:c>
      <x:c r="O457" s="12" t="str">
        <x:v>clear</x:v>
      </x:c>
    </x:row>
    <x:row r="458" ht="60" customHeight="1">
      <x:c r="A458" s="12" t="str">
        <x:v>BV15</x:v>
      </x:c>
      <x:c r="B458" s="12" t="str">
        <x:v>BV15-D1</x:v>
      </x:c>
      <x:c r="C458" s="12" t="str">
        <x:v>buyer</x:v>
      </x:c>
      <x:c r="D458" s="12" t="str">
        <x:v>Extract</x:v>
      </x:c>
      <x:c r="E458" s="13" t="str">
        <x:v>Yash Demo</x:v>
      </x:c>
      <x:c r="F458" s="14" t="n">
        <x:v>1</x:v>
      </x:c>
      <x:c r="G458" s="12" t="str">
        <x:v>Buyer: Yash Demo</x:v>
      </x:c>
      <x:c r="H458" s="15"/>
      <x:c r="I458" s="16"/>
      <x:c r="J458" s="17"/>
      <x:c r="K458" s="17"/>
      <x:c r="L458" s="17"/>
      <x:c r="M458" s="17"/>
      <x:c r="N458" s="12" t="str">
        <x:v>BV15-01-sale-deed.pdf</x:v>
      </x:c>
      <x:c r="O458" s="12" t="str">
        <x:v>clear</x:v>
      </x:c>
    </x:row>
    <x:row r="459" ht="60" customHeight="1">
      <x:c r="A459" s="12" t="str">
        <x:v>BV15</x:v>
      </x:c>
      <x:c r="B459" s="12" t="str">
        <x:v>BV15-D1</x:v>
      </x:c>
      <x:c r="C459" s="12" t="str">
        <x:v>district</x:v>
      </x:c>
      <x:c r="D459" s="12" t="str">
        <x:v>Extract</x:v>
      </x:c>
      <x:c r="E459" s="13" t="str">
        <x:v>Buxar</x:v>
      </x:c>
      <x:c r="F459" s="14" t="n">
        <x:v>1</x:v>
      </x:c>
      <x:c r="G459" s="12" t="str">
        <x:v>District: Buxar</x:v>
      </x:c>
      <x:c r="H459" s="15"/>
      <x:c r="I459" s="16"/>
      <x:c r="J459" s="17"/>
      <x:c r="K459" s="17"/>
      <x:c r="L459" s="17"/>
      <x:c r="M459" s="17"/>
      <x:c r="N459" s="12" t="str">
        <x:v>BV15-01-sale-deed.pdf</x:v>
      </x:c>
      <x:c r="O459" s="12" t="str">
        <x:v>clear</x:v>
      </x:c>
    </x:row>
    <x:row r="460" ht="60" customHeight="1">
      <x:c r="A460" s="12" t="str">
        <x:v>BV15</x:v>
      </x:c>
      <x:c r="B460" s="12" t="str">
        <x:v>BV15-D1</x:v>
      </x:c>
      <x:c r="C460" s="12" t="str">
        <x:v>circle</x:v>
      </x:c>
      <x:c r="D460" s="12" t="str">
        <x:v>Extract</x:v>
      </x:c>
      <x:c r="E460" s="13" t="str">
        <x:v>Buxar</x:v>
      </x:c>
      <x:c r="F460" s="14" t="n">
        <x:v>1</x:v>
      </x:c>
      <x:c r="G460" s="12" t="str">
        <x:v>Anchal / circle: Buxar</x:v>
      </x:c>
      <x:c r="H460" s="15"/>
      <x:c r="I460" s="16"/>
      <x:c r="J460" s="17"/>
      <x:c r="K460" s="17"/>
      <x:c r="L460" s="17"/>
      <x:c r="M460" s="17"/>
      <x:c r="N460" s="12" t="str">
        <x:v>BV15-01-sale-deed.pdf</x:v>
      </x:c>
      <x:c r="O460" s="12" t="str">
        <x:v>clear</x:v>
      </x:c>
    </x:row>
    <x:row r="461" ht="60" customHeight="1">
      <x:c r="A461" s="12" t="str">
        <x:v>BV15</x:v>
      </x:c>
      <x:c r="B461" s="12" t="str">
        <x:v>BV15-D1</x:v>
      </x:c>
      <x:c r="C461" s="12" t="str">
        <x:v>mauza</x:v>
      </x:c>
      <x:c r="D461" s="12" t="str">
        <x:v>Extract</x:v>
      </x:c>
      <x:c r="E461" s="13" t="str">
        <x:v>Ankur Demo Mauza</x:v>
      </x:c>
      <x:c r="F461" s="14" t="n">
        <x:v>1</x:v>
      </x:c>
      <x:c r="G461" s="12" t="str">
        <x:v>Mauza (fictional village): Ankur Demo Mauza</x:v>
      </x:c>
      <x:c r="H461" s="15"/>
      <x:c r="I461" s="16"/>
      <x:c r="J461" s="17"/>
      <x:c r="K461" s="17"/>
      <x:c r="L461" s="17"/>
      <x:c r="M461" s="17"/>
      <x:c r="N461" s="12" t="str">
        <x:v>BV15-01-sale-deed.pdf</x:v>
      </x:c>
      <x:c r="O461" s="12" t="str">
        <x:v>clear</x:v>
      </x:c>
    </x:row>
    <x:row r="462" ht="60" customHeight="1">
      <x:c r="A462" s="12" t="str">
        <x:v>BV15</x:v>
      </x:c>
      <x:c r="B462" s="12" t="str">
        <x:v>BV15-D1</x:v>
      </x:c>
      <x:c r="C462" s="12" t="str">
        <x:v>thana</x:v>
      </x:c>
      <x:c r="D462" s="12" t="str">
        <x:v>Omit</x:v>
      </x:c>
      <x:c r="E462" s="13"/>
      <x:c r="F462" s="14"/>
      <x:c r="G462" s="12"/>
      <x:c r="H462" s="15"/>
      <x:c r="I462" s="16"/>
      <x:c r="J462" s="17"/>
      <x:c r="K462" s="17"/>
      <x:c r="L462" s="17"/>
      <x:c r="M462" s="17"/>
      <x:c r="N462" s="12" t="str">
        <x:v>BV15-01-sale-deed.pdf</x:v>
      </x:c>
      <x:c r="O462" s="12" t="str">
        <x:v>Not stated in this file</x:v>
      </x:c>
    </x:row>
    <x:row r="463" ht="60" customHeight="1">
      <x:c r="A463" s="12" t="str">
        <x:v>BV15</x:v>
      </x:c>
      <x:c r="B463" s="12" t="str">
        <x:v>BV15-D1</x:v>
      </x:c>
      <x:c r="C463" s="12" t="str">
        <x:v>khata</x:v>
      </x:c>
      <x:c r="D463" s="12" t="str">
        <x:v>Extract</x:v>
      </x:c>
      <x:c r="E463" s="24" t="str">
        <x:v>0031</x:v>
      </x:c>
      <x:c r="F463" s="14" t="n">
        <x:v>1</x:v>
      </x:c>
      <x:c r="G463" s="12" t="str">
        <x:v>Khata: 0031</x:v>
      </x:c>
      <x:c r="H463" s="15"/>
      <x:c r="I463" s="16"/>
      <x:c r="J463" s="17"/>
      <x:c r="K463" s="17"/>
      <x:c r="L463" s="17"/>
      <x:c r="M463" s="17"/>
      <x:c r="N463" s="12" t="str">
        <x:v>BV15-01-sale-deed.pdf</x:v>
      </x:c>
      <x:c r="O463" s="12" t="str">
        <x:v>clear</x:v>
      </x:c>
    </x:row>
    <x:row r="464" ht="60" customHeight="1">
      <x:c r="A464" s="12" t="str">
        <x:v>BV15</x:v>
      </x:c>
      <x:c r="B464" s="12" t="str">
        <x:v>BV15-D1</x:v>
      </x:c>
      <x:c r="C464" s="12" t="str">
        <x:v>khesra</x:v>
      </x:c>
      <x:c r="D464" s="12" t="str">
        <x:v>Extract</x:v>
      </x:c>
      <x:c r="E464" s="24" t="str">
        <x:v>0614</x:v>
      </x:c>
      <x:c r="F464" s="14" t="n">
        <x:v>1</x:v>
      </x:c>
      <x:c r="G464" s="12" t="str">
        <x:v>Khesra: 0614</x:v>
      </x:c>
      <x:c r="H464" s="15"/>
      <x:c r="I464" s="16"/>
      <x:c r="J464" s="17"/>
      <x:c r="K464" s="17"/>
      <x:c r="L464" s="17"/>
      <x:c r="M464" s="17"/>
      <x:c r="N464" s="12" t="str">
        <x:v>BV15-01-sale-deed.pdf</x:v>
      </x:c>
      <x:c r="O464" s="12" t="str">
        <x:v>clear</x:v>
      </x:c>
    </x:row>
    <x:row r="465" ht="60" customHeight="1">
      <x:c r="A465" s="12" t="str">
        <x:v>BV15</x:v>
      </x:c>
      <x:c r="B465" s="12" t="str">
        <x:v>BV15-D1</x:v>
      </x:c>
      <x:c r="C465" s="12" t="str">
        <x:v>jamabandi</x:v>
      </x:c>
      <x:c r="D465" s="12" t="str">
        <x:v>Omit</x:v>
      </x:c>
      <x:c r="E465" s="13"/>
      <x:c r="F465" s="14"/>
      <x:c r="G465" s="12"/>
      <x:c r="H465" s="15"/>
      <x:c r="I465" s="16"/>
      <x:c r="J465" s="17"/>
      <x:c r="K465" s="17"/>
      <x:c r="L465" s="17"/>
      <x:c r="M465" s="17"/>
      <x:c r="N465" s="12" t="str">
        <x:v>BV15-01-sale-deed.pdf</x:v>
      </x:c>
      <x:c r="O465" s="12" t="str">
        <x:v>Not stated in this file</x:v>
      </x:c>
    </x:row>
    <x:row r="466" ht="60" customHeight="1">
      <x:c r="A466" s="12" t="str">
        <x:v>BV15</x:v>
      </x:c>
      <x:c r="B466" s="12" t="str">
        <x:v>BV15-D1</x:v>
      </x:c>
      <x:c r="C466" s="12" t="str">
        <x:v>area</x:v>
      </x:c>
      <x:c r="D466" s="12" t="str">
        <x:v>Extract</x:v>
      </x:c>
      <x:c r="E466" s="13" t="str">
        <x:v>10</x:v>
      </x:c>
      <x:c r="F466" s="14" t="n">
        <x:v>1</x:v>
      </x:c>
      <x:c r="G466" s="12" t="str">
        <x:v>Area: 10</x:v>
      </x:c>
      <x:c r="H466" s="15"/>
      <x:c r="I466" s="16"/>
      <x:c r="J466" s="17"/>
      <x:c r="K466" s="17"/>
      <x:c r="L466" s="17"/>
      <x:c r="M466" s="17"/>
      <x:c r="N466" s="12" t="str">
        <x:v>BV15-01-sale-deed.pdf</x:v>
      </x:c>
      <x:c r="O466" s="12" t="str">
        <x:v>clear</x:v>
      </x:c>
    </x:row>
    <x:row r="467" ht="60" customHeight="1">
      <x:c r="A467" s="12" t="str">
        <x:v>BV15</x:v>
      </x:c>
      <x:c r="B467" s="12" t="str">
        <x:v>BV15-D1</x:v>
      </x:c>
      <x:c r="C467" s="12" t="str">
        <x:v>areaUnit</x:v>
      </x:c>
      <x:c r="D467" s="12" t="str">
        <x:v>Extract</x:v>
      </x:c>
      <x:c r="E467" s="13" t="str">
        <x:v>decimal</x:v>
      </x:c>
      <x:c r="F467" s="14" t="n">
        <x:v>1</x:v>
      </x:c>
      <x:c r="G467" s="12" t="str">
        <x:v>Area unit: decimal</x:v>
      </x:c>
      <x:c r="H467" s="15"/>
      <x:c r="I467" s="16"/>
      <x:c r="J467" s="17"/>
      <x:c r="K467" s="17"/>
      <x:c r="L467" s="17"/>
      <x:c r="M467" s="17"/>
      <x:c r="N467" s="12" t="str">
        <x:v>BV15-01-sale-deed.pdf</x:v>
      </x:c>
      <x:c r="O467" s="12" t="str">
        <x:v>clear</x:v>
      </x:c>
    </x:row>
    <x:row r="468" ht="60" customHeight="1">
      <x:c r="A468" s="12" t="str">
        <x:v>BV15</x:v>
      </x:c>
      <x:c r="B468" s="12" t="str">
        <x:v>BV15-D1</x:v>
      </x:c>
      <x:c r="C468" s="12" t="str">
        <x:v>date</x:v>
      </x:c>
      <x:c r="D468" s="12" t="str">
        <x:v>Extract</x:v>
      </x:c>
      <x:c r="E468" s="13" t="str">
        <x:v>2024-11-18</x:v>
      </x:c>
      <x:c r="F468" s="14" t="n">
        <x:v>1</x:v>
      </x:c>
      <x:c r="G468" s="12" t="str">
        <x:v>Document date: 2024-11-18</x:v>
      </x:c>
      <x:c r="H468" s="15"/>
      <x:c r="I468" s="16"/>
      <x:c r="J468" s="17"/>
      <x:c r="K468" s="17"/>
      <x:c r="L468" s="17"/>
      <x:c r="M468" s="17"/>
      <x:c r="N468" s="12" t="str">
        <x:v>BV15-01-sale-deed.pdf</x:v>
      </x:c>
      <x:c r="O468" s="12" t="str">
        <x:v>clear</x:v>
      </x:c>
    </x:row>
    <x:row r="469" ht="60" customHeight="1">
      <x:c r="A469" s="12" t="str">
        <x:v>BV15</x:v>
      </x:c>
      <x:c r="B469" s="12" t="str">
        <x:v>BV15-D1</x:v>
      </x:c>
      <x:c r="C469" s="12" t="str">
        <x:v>mutationStatus</x:v>
      </x:c>
      <x:c r="D469" s="12" t="str">
        <x:v>Omit</x:v>
      </x:c>
      <x:c r="E469" s="13"/>
      <x:c r="F469" s="14"/>
      <x:c r="G469" s="12"/>
      <x:c r="H469" s="15"/>
      <x:c r="I469" s="16"/>
      <x:c r="J469" s="17"/>
      <x:c r="K469" s="17"/>
      <x:c r="L469" s="17"/>
      <x:c r="M469" s="17"/>
      <x:c r="N469" s="12" t="str">
        <x:v>BV15-01-sale-deed.pdf</x:v>
      </x:c>
      <x:c r="O469" s="12" t="str">
        <x:v>Not stated in this file</x:v>
      </x:c>
    </x:row>
    <x:row r="470" ht="60" customHeight="1">
      <x:c r="A470" s="12" t="str">
        <x:v>BV15</x:v>
      </x:c>
      <x:c r="B470" s="12" t="str">
        <x:v>BV15-D1</x:v>
      </x:c>
      <x:c r="C470" s="12" t="str">
        <x:v>mortgage</x:v>
      </x:c>
      <x:c r="D470" s="12" t="str">
        <x:v>Omit</x:v>
      </x:c>
      <x:c r="E470" s="13"/>
      <x:c r="F470" s="14"/>
      <x:c r="G470" s="12"/>
      <x:c r="H470" s="15"/>
      <x:c r="I470" s="16"/>
      <x:c r="J470" s="17"/>
      <x:c r="K470" s="17"/>
      <x:c r="L470" s="17"/>
      <x:c r="M470" s="17"/>
      <x:c r="N470" s="12" t="str">
        <x:v>BV15-01-sale-deed.pdf</x:v>
      </x:c>
      <x:c r="O470" s="12" t="str">
        <x:v>Not stated in this file</x:v>
      </x:c>
    </x:row>
    <x:row r="471" ht="60" customHeight="1">
      <x:c r="A471" s="12" t="str">
        <x:v>BV15</x:v>
      </x:c>
      <x:c r="B471" s="12" t="str">
        <x:v>BV15-D1</x:v>
      </x:c>
      <x:c r="C471" s="12" t="str">
        <x:v>boundaries</x:v>
      </x:c>
      <x:c r="D471" s="12" t="str">
        <x:v>Omit</x:v>
      </x:c>
      <x:c r="E471" s="13"/>
      <x:c r="F471" s="14"/>
      <x:c r="G471" s="12"/>
      <x:c r="H471" s="15"/>
      <x:c r="I471" s="16"/>
      <x:c r="J471" s="17"/>
      <x:c r="K471" s="17"/>
      <x:c r="L471" s="17"/>
      <x:c r="M471" s="17"/>
      <x:c r="N471" s="12" t="str">
        <x:v>BV15-01-sale-deed.pdf</x:v>
      </x:c>
      <x:c r="O471" s="12" t="str">
        <x:v>Not stated in this file</x:v>
      </x:c>
    </x:row>
    <x:row r="472" ht="60" customHeight="1">
      <x:c r="A472" s="18" t="str">
        <x:v>BV15</x:v>
      </x:c>
      <x:c r="B472" s="18" t="str">
        <x:v>BV15-D2</x:v>
      </x:c>
      <x:c r="C472" s="18" t="str">
        <x:v>owner</x:v>
      </x:c>
      <x:c r="D472" s="18" t="str">
        <x:v>Omit</x:v>
      </x:c>
      <x:c r="E472" s="19"/>
      <x:c r="F472" s="20"/>
      <x:c r="G472" s="18"/>
      <x:c r="H472" s="21"/>
      <x:c r="I472" s="22"/>
      <x:c r="J472" s="23"/>
      <x:c r="K472" s="23"/>
      <x:c r="L472" s="23"/>
      <x:c r="M472" s="23"/>
      <x:c r="N472" s="18" t="str">
        <x:v>BV15-02-jamabandi.pdf</x:v>
      </x:c>
      <x:c r="O472" s="18" t="str">
        <x:v>Unreadable in this file</x:v>
      </x:c>
    </x:row>
    <x:row r="473" ht="60" customHeight="1">
      <x:c r="A473" s="12" t="str">
        <x:v>BV15</x:v>
      </x:c>
      <x:c r="B473" s="12" t="str">
        <x:v>BV15-D2</x:v>
      </x:c>
      <x:c r="C473" s="12" t="str">
        <x:v>seller</x:v>
      </x:c>
      <x:c r="D473" s="12" t="str">
        <x:v>Omit</x:v>
      </x:c>
      <x:c r="E473" s="13"/>
      <x:c r="F473" s="14"/>
      <x:c r="G473" s="12"/>
      <x:c r="H473" s="15"/>
      <x:c r="I473" s="16"/>
      <x:c r="J473" s="17"/>
      <x:c r="K473" s="17"/>
      <x:c r="L473" s="17"/>
      <x:c r="M473" s="17"/>
      <x:c r="N473" s="12" t="str">
        <x:v>BV15-02-jamabandi.pdf</x:v>
      </x:c>
      <x:c r="O473" s="12" t="str">
        <x:v>Not stated in this file</x:v>
      </x:c>
    </x:row>
    <x:row r="474" ht="60" customHeight="1">
      <x:c r="A474" s="12" t="str">
        <x:v>BV15</x:v>
      </x:c>
      <x:c r="B474" s="12" t="str">
        <x:v>BV15-D2</x:v>
      </x:c>
      <x:c r="C474" s="12" t="str">
        <x:v>buyer</x:v>
      </x:c>
      <x:c r="D474" s="12" t="str">
        <x:v>Omit</x:v>
      </x:c>
      <x:c r="E474" s="13"/>
      <x:c r="F474" s="14"/>
      <x:c r="G474" s="12"/>
      <x:c r="H474" s="15"/>
      <x:c r="I474" s="16"/>
      <x:c r="J474" s="17"/>
      <x:c r="K474" s="17"/>
      <x:c r="L474" s="17"/>
      <x:c r="M474" s="17"/>
      <x:c r="N474" s="12" t="str">
        <x:v>BV15-02-jamabandi.pdf</x:v>
      </x:c>
      <x:c r="O474" s="12" t="str">
        <x:v>Not stated in this file</x:v>
      </x:c>
    </x:row>
    <x:row r="475" ht="60" customHeight="1">
      <x:c r="A475" s="12" t="str">
        <x:v>BV15</x:v>
      </x:c>
      <x:c r="B475" s="12" t="str">
        <x:v>BV15-D2</x:v>
      </x:c>
      <x:c r="C475" s="12" t="str">
        <x:v>district</x:v>
      </x:c>
      <x:c r="D475" s="12" t="str">
        <x:v>Omit</x:v>
      </x:c>
      <x:c r="E475" s="13"/>
      <x:c r="F475" s="14"/>
      <x:c r="G475" s="12"/>
      <x:c r="H475" s="15"/>
      <x:c r="I475" s="16"/>
      <x:c r="J475" s="17"/>
      <x:c r="K475" s="17"/>
      <x:c r="L475" s="17"/>
      <x:c r="M475" s="17"/>
      <x:c r="N475" s="12" t="str">
        <x:v>BV15-02-jamabandi.pdf</x:v>
      </x:c>
      <x:c r="O475" s="12" t="str">
        <x:v>Unreadable in this file</x:v>
      </x:c>
    </x:row>
    <x:row r="476" ht="60" customHeight="1">
      <x:c r="A476" s="12" t="str">
        <x:v>BV15</x:v>
      </x:c>
      <x:c r="B476" s="12" t="str">
        <x:v>BV15-D2</x:v>
      </x:c>
      <x:c r="C476" s="12" t="str">
        <x:v>circle</x:v>
      </x:c>
      <x:c r="D476" s="12" t="str">
        <x:v>Omit</x:v>
      </x:c>
      <x:c r="E476" s="13"/>
      <x:c r="F476" s="14"/>
      <x:c r="G476" s="12"/>
      <x:c r="H476" s="15"/>
      <x:c r="I476" s="16"/>
      <x:c r="J476" s="17"/>
      <x:c r="K476" s="17"/>
      <x:c r="L476" s="17"/>
      <x:c r="M476" s="17"/>
      <x:c r="N476" s="12" t="str">
        <x:v>BV15-02-jamabandi.pdf</x:v>
      </x:c>
      <x:c r="O476" s="12" t="str">
        <x:v>Unreadable in this file</x:v>
      </x:c>
    </x:row>
    <x:row r="477" ht="60" customHeight="1">
      <x:c r="A477" s="12" t="str">
        <x:v>BV15</x:v>
      </x:c>
      <x:c r="B477" s="12" t="str">
        <x:v>BV15-D2</x:v>
      </x:c>
      <x:c r="C477" s="12" t="str">
        <x:v>mauza</x:v>
      </x:c>
      <x:c r="D477" s="12" t="str">
        <x:v>Omit</x:v>
      </x:c>
      <x:c r="E477" s="13"/>
      <x:c r="F477" s="14"/>
      <x:c r="G477" s="12"/>
      <x:c r="H477" s="15"/>
      <x:c r="I477" s="16"/>
      <x:c r="J477" s="17"/>
      <x:c r="K477" s="17"/>
      <x:c r="L477" s="17"/>
      <x:c r="M477" s="17"/>
      <x:c r="N477" s="12" t="str">
        <x:v>BV15-02-jamabandi.pdf</x:v>
      </x:c>
      <x:c r="O477" s="12" t="str">
        <x:v>Unreadable in this file</x:v>
      </x:c>
    </x:row>
    <x:row r="478" ht="60" customHeight="1">
      <x:c r="A478" s="12" t="str">
        <x:v>BV15</x:v>
      </x:c>
      <x:c r="B478" s="12" t="str">
        <x:v>BV15-D2</x:v>
      </x:c>
      <x:c r="C478" s="12" t="str">
        <x:v>thana</x:v>
      </x:c>
      <x:c r="D478" s="12" t="str">
        <x:v>Omit</x:v>
      </x:c>
      <x:c r="E478" s="13"/>
      <x:c r="F478" s="14"/>
      <x:c r="G478" s="12"/>
      <x:c r="H478" s="15"/>
      <x:c r="I478" s="16"/>
      <x:c r="J478" s="17"/>
      <x:c r="K478" s="17"/>
      <x:c r="L478" s="17"/>
      <x:c r="M478" s="17"/>
      <x:c r="N478" s="12" t="str">
        <x:v>BV15-02-jamabandi.pdf</x:v>
      </x:c>
      <x:c r="O478" s="12" t="str">
        <x:v>Not stated in this file</x:v>
      </x:c>
    </x:row>
    <x:row r="479" ht="60" customHeight="1">
      <x:c r="A479" s="12" t="str">
        <x:v>BV15</x:v>
      </x:c>
      <x:c r="B479" s="12" t="str">
        <x:v>BV15-D2</x:v>
      </x:c>
      <x:c r="C479" s="12" t="str">
        <x:v>khata</x:v>
      </x:c>
      <x:c r="D479" s="12" t="str">
        <x:v>Omit</x:v>
      </x:c>
      <x:c r="E479" s="13"/>
      <x:c r="F479" s="14"/>
      <x:c r="G479" s="12"/>
      <x:c r="H479" s="15"/>
      <x:c r="I479" s="16"/>
      <x:c r="J479" s="17"/>
      <x:c r="K479" s="17"/>
      <x:c r="L479" s="17"/>
      <x:c r="M479" s="17"/>
      <x:c r="N479" s="12" t="str">
        <x:v>BV15-02-jamabandi.pdf</x:v>
      </x:c>
      <x:c r="O479" s="12" t="str">
        <x:v>Unreadable in this file</x:v>
      </x:c>
    </x:row>
    <x:row r="480" ht="60" customHeight="1">
      <x:c r="A480" s="12" t="str">
        <x:v>BV15</x:v>
      </x:c>
      <x:c r="B480" s="12" t="str">
        <x:v>BV15-D2</x:v>
      </x:c>
      <x:c r="C480" s="12" t="str">
        <x:v>khesra</x:v>
      </x:c>
      <x:c r="D480" s="12" t="str">
        <x:v>Omit</x:v>
      </x:c>
      <x:c r="E480" s="13"/>
      <x:c r="F480" s="14"/>
      <x:c r="G480" s="12"/>
      <x:c r="H480" s="15"/>
      <x:c r="I480" s="16"/>
      <x:c r="J480" s="17"/>
      <x:c r="K480" s="17"/>
      <x:c r="L480" s="17"/>
      <x:c r="M480" s="17"/>
      <x:c r="N480" s="12" t="str">
        <x:v>BV15-02-jamabandi.pdf</x:v>
      </x:c>
      <x:c r="O480" s="12" t="str">
        <x:v>Unreadable in this file</x:v>
      </x:c>
    </x:row>
    <x:row r="481" ht="60" customHeight="1">
      <x:c r="A481" s="12" t="str">
        <x:v>BV15</x:v>
      </x:c>
      <x:c r="B481" s="12" t="str">
        <x:v>BV15-D2</x:v>
      </x:c>
      <x:c r="C481" s="12" t="str">
        <x:v>jamabandi</x:v>
      </x:c>
      <x:c r="D481" s="12" t="str">
        <x:v>Omit</x:v>
      </x:c>
      <x:c r="E481" s="13"/>
      <x:c r="F481" s="14"/>
      <x:c r="G481" s="12"/>
      <x:c r="H481" s="15"/>
      <x:c r="I481" s="16"/>
      <x:c r="J481" s="17"/>
      <x:c r="K481" s="17"/>
      <x:c r="L481" s="17"/>
      <x:c r="M481" s="17"/>
      <x:c r="N481" s="12" t="str">
        <x:v>BV15-02-jamabandi.pdf</x:v>
      </x:c>
      <x:c r="O481" s="12" t="str">
        <x:v>Unreadable in this file</x:v>
      </x:c>
    </x:row>
    <x:row r="482" ht="60" customHeight="1">
      <x:c r="A482" s="12" t="str">
        <x:v>BV15</x:v>
      </x:c>
      <x:c r="B482" s="12" t="str">
        <x:v>BV15-D2</x:v>
      </x:c>
      <x:c r="C482" s="12" t="str">
        <x:v>area</x:v>
      </x:c>
      <x:c r="D482" s="12" t="str">
        <x:v>Omit</x:v>
      </x:c>
      <x:c r="E482" s="13"/>
      <x:c r="F482" s="14"/>
      <x:c r="G482" s="12"/>
      <x:c r="H482" s="15"/>
      <x:c r="I482" s="16"/>
      <x:c r="J482" s="17"/>
      <x:c r="K482" s="17"/>
      <x:c r="L482" s="17"/>
      <x:c r="M482" s="17"/>
      <x:c r="N482" s="12" t="str">
        <x:v>BV15-02-jamabandi.pdf</x:v>
      </x:c>
      <x:c r="O482" s="12" t="str">
        <x:v>Unreadable in this file</x:v>
      </x:c>
    </x:row>
    <x:row r="483" ht="60" customHeight="1">
      <x:c r="A483" s="12" t="str">
        <x:v>BV15</x:v>
      </x:c>
      <x:c r="B483" s="12" t="str">
        <x:v>BV15-D2</x:v>
      </x:c>
      <x:c r="C483" s="12" t="str">
        <x:v>areaUnit</x:v>
      </x:c>
      <x:c r="D483" s="12" t="str">
        <x:v>Omit</x:v>
      </x:c>
      <x:c r="E483" s="13"/>
      <x:c r="F483" s="14"/>
      <x:c r="G483" s="12"/>
      <x:c r="H483" s="15"/>
      <x:c r="I483" s="16"/>
      <x:c r="J483" s="17"/>
      <x:c r="K483" s="17"/>
      <x:c r="L483" s="17"/>
      <x:c r="M483" s="17"/>
      <x:c r="N483" s="12" t="str">
        <x:v>BV15-02-jamabandi.pdf</x:v>
      </x:c>
      <x:c r="O483" s="12" t="str">
        <x:v>Unreadable in this file</x:v>
      </x:c>
    </x:row>
    <x:row r="484" ht="60" customHeight="1">
      <x:c r="A484" s="12" t="str">
        <x:v>BV15</x:v>
      </x:c>
      <x:c r="B484" s="12" t="str">
        <x:v>BV15-D2</x:v>
      </x:c>
      <x:c r="C484" s="12" t="str">
        <x:v>date</x:v>
      </x:c>
      <x:c r="D484" s="12" t="str">
        <x:v>Omit</x:v>
      </x:c>
      <x:c r="E484" s="13"/>
      <x:c r="F484" s="14"/>
      <x:c r="G484" s="12"/>
      <x:c r="H484" s="15"/>
      <x:c r="I484" s="16"/>
      <x:c r="J484" s="17"/>
      <x:c r="K484" s="17"/>
      <x:c r="L484" s="17"/>
      <x:c r="M484" s="17"/>
      <x:c r="N484" s="12" t="str">
        <x:v>BV15-02-jamabandi.pdf</x:v>
      </x:c>
      <x:c r="O484" s="12" t="str">
        <x:v>Unreadable in this file</x:v>
      </x:c>
    </x:row>
    <x:row r="485" ht="60" customHeight="1">
      <x:c r="A485" s="12" t="str">
        <x:v>BV15</x:v>
      </x:c>
      <x:c r="B485" s="12" t="str">
        <x:v>BV15-D2</x:v>
      </x:c>
      <x:c r="C485" s="12" t="str">
        <x:v>mutationStatus</x:v>
      </x:c>
      <x:c r="D485" s="12" t="str">
        <x:v>Omit</x:v>
      </x:c>
      <x:c r="E485" s="13"/>
      <x:c r="F485" s="14"/>
      <x:c r="G485" s="12"/>
      <x:c r="H485" s="15"/>
      <x:c r="I485" s="16"/>
      <x:c r="J485" s="17"/>
      <x:c r="K485" s="17"/>
      <x:c r="L485" s="17"/>
      <x:c r="M485" s="17"/>
      <x:c r="N485" s="12" t="str">
        <x:v>BV15-02-jamabandi.pdf</x:v>
      </x:c>
      <x:c r="O485" s="12" t="str">
        <x:v>Not stated in this file</x:v>
      </x:c>
    </x:row>
    <x:row r="486" ht="60" customHeight="1">
      <x:c r="A486" s="12" t="str">
        <x:v>BV15</x:v>
      </x:c>
      <x:c r="B486" s="12" t="str">
        <x:v>BV15-D2</x:v>
      </x:c>
      <x:c r="C486" s="12" t="str">
        <x:v>mortgage</x:v>
      </x:c>
      <x:c r="D486" s="12" t="str">
        <x:v>Omit</x:v>
      </x:c>
      <x:c r="E486" s="13"/>
      <x:c r="F486" s="14"/>
      <x:c r="G486" s="12"/>
      <x:c r="H486" s="15"/>
      <x:c r="I486" s="16"/>
      <x:c r="J486" s="17"/>
      <x:c r="K486" s="17"/>
      <x:c r="L486" s="17"/>
      <x:c r="M486" s="17"/>
      <x:c r="N486" s="12" t="str">
        <x:v>BV15-02-jamabandi.pdf</x:v>
      </x:c>
      <x:c r="O486" s="12" t="str">
        <x:v>Not stated in this file</x:v>
      </x:c>
    </x:row>
    <x:row r="487" ht="60" customHeight="1">
      <x:c r="A487" s="12" t="str">
        <x:v>BV15</x:v>
      </x:c>
      <x:c r="B487" s="12" t="str">
        <x:v>BV15-D2</x:v>
      </x:c>
      <x:c r="C487" s="12" t="str">
        <x:v>boundaries</x:v>
      </x:c>
      <x:c r="D487" s="12" t="str">
        <x:v>Omit</x:v>
      </x:c>
      <x:c r="E487" s="13"/>
      <x:c r="F487" s="14"/>
      <x:c r="G487" s="12"/>
      <x:c r="H487" s="15"/>
      <x:c r="I487" s="16"/>
      <x:c r="J487" s="17"/>
      <x:c r="K487" s="17"/>
      <x:c r="L487" s="17"/>
      <x:c r="M487" s="17"/>
      <x:c r="N487" s="12" t="str">
        <x:v>BV15-02-jamabandi.pdf</x:v>
      </x:c>
      <x:c r="O487" s="12" t="str">
        <x:v>Not stated in this file</x:v>
      </x:c>
    </x:row>
  </x:sheetData>
  <x:conditionalFormatting sqref="K8:K487">
    <x:cfRule type="containsText" dxfId="0" priority="1" operator="containsText" text="Wrong"/>
    <x:cfRule type="containsText" dxfId="1" priority="2" operator="containsText" text="Missing"/>
    <x:cfRule type="containsText" dxfId="2" priority="3" operator="containsText" text="Invented"/>
  </x:conditionalFormatting>
  <x:conditionalFormatting sqref="L8:L487">
    <x:cfRule type="containsText" dxfId="3" priority="4" operator="containsText" text="Unsupported"/>
  </x:conditionalFormatting>
  <x:dataValidations count="960">
    <x:dataValidation type="list" sqref="K8">
      <x:formula1>"Correctly omitted,Invented"</x:formula1>
    </x:dataValidation>
    <x:dataValidation type="list" sqref="L8">
      <x:formula1>"Not applicable"</x:formula1>
    </x:dataValidation>
    <x:dataValidation type="list" sqref="K9">
      <x:formula1>"Correct,Wrong,Missing"</x:formula1>
    </x:dataValidation>
    <x:dataValidation type="list" sqref="L9">
      <x:formula1>"Supported,Unsupported,Missing"</x:formula1>
    </x:dataValidation>
    <x:dataValidation type="list" sqref="K10">
      <x:formula1>"Correct,Wrong,Missing"</x:formula1>
    </x:dataValidation>
    <x:dataValidation type="list" sqref="L10">
      <x:formula1>"Supported,Unsupported,Missing"</x:formula1>
    </x:dataValidation>
    <x:dataValidation type="list" sqref="K11">
      <x:formula1>"Correct,Wrong,Missing"</x:formula1>
    </x:dataValidation>
    <x:dataValidation type="list" sqref="L11">
      <x:formula1>"Supported,Unsupported,Missing"</x:formula1>
    </x:dataValidation>
    <x:dataValidation type="list" sqref="K12">
      <x:formula1>"Correct,Wrong,Missing"</x:formula1>
    </x:dataValidation>
    <x:dataValidation type="list" sqref="L12">
      <x:formula1>"Supported,Unsupported,Missing"</x:formula1>
    </x:dataValidation>
    <x:dataValidation type="list" sqref="K13">
      <x:formula1>"Correct,Wrong,Missing"</x:formula1>
    </x:dataValidation>
    <x:dataValidation type="list" sqref="L13">
      <x:formula1>"Supported,Unsupported,Missing"</x:formula1>
    </x:dataValidation>
    <x:dataValidation type="list" sqref="K14">
      <x:formula1>"Correctly omitted,Invented"</x:formula1>
    </x:dataValidation>
    <x:dataValidation type="list" sqref="L14">
      <x:formula1>"Not applicable"</x:formula1>
    </x:dataValidation>
    <x:dataValidation type="list" sqref="K15">
      <x:formula1>"Correct,Wrong,Missing"</x:formula1>
    </x:dataValidation>
    <x:dataValidation type="list" sqref="L15">
      <x:formula1>"Supported,Unsupported,Missing"</x:formula1>
    </x:dataValidation>
    <x:dataValidation type="list" sqref="K16">
      <x:formula1>"Correct,Wrong,Missing"</x:formula1>
    </x:dataValidation>
    <x:dataValidation type="list" sqref="L16">
      <x:formula1>"Supported,Unsupported,Missing"</x:formula1>
    </x:dataValidation>
    <x:dataValidation type="list" sqref="K17">
      <x:formula1>"Correctly omitted,Invented"</x:formula1>
    </x:dataValidation>
    <x:dataValidation type="list" sqref="L17">
      <x:formula1>"Not applicable"</x:formula1>
    </x:dataValidation>
    <x:dataValidation type="list" sqref="K18">
      <x:formula1>"Correct,Wrong,Missing"</x:formula1>
    </x:dataValidation>
    <x:dataValidation type="list" sqref="L18">
      <x:formula1>"Supported,Unsupported,Missing"</x:formula1>
    </x:dataValidation>
    <x:dataValidation type="list" sqref="K19">
      <x:formula1>"Correct,Wrong,Missing"</x:formula1>
    </x:dataValidation>
    <x:dataValidation type="list" sqref="L19">
      <x:formula1>"Supported,Unsupported,Missing"</x:formula1>
    </x:dataValidation>
    <x:dataValidation type="list" sqref="K20">
      <x:formula1>"Correct,Wrong,Missing"</x:formula1>
    </x:dataValidation>
    <x:dataValidation type="list" sqref="L20">
      <x:formula1>"Supported,Unsupported,Missing"</x:formula1>
    </x:dataValidation>
    <x:dataValidation type="list" sqref="K21">
      <x:formula1>"Correctly omitted,Invented"</x:formula1>
    </x:dataValidation>
    <x:dataValidation type="list" sqref="L21">
      <x:formula1>"Not applicable"</x:formula1>
    </x:dataValidation>
    <x:dataValidation type="list" sqref="K22">
      <x:formula1>"Correctly omitted,Invented"</x:formula1>
    </x:dataValidation>
    <x:dataValidation type="list" sqref="L22">
      <x:formula1>"Not applicable"</x:formula1>
    </x:dataValidation>
    <x:dataValidation type="list" sqref="K23">
      <x:formula1>"Correctly omitted,Invented"</x:formula1>
    </x:dataValidation>
    <x:dataValidation type="list" sqref="L23">
      <x:formula1>"Not applicable"</x:formula1>
    </x:dataValidation>
    <x:dataValidation type="list" sqref="K24">
      <x:formula1>"Correct,Wrong,Missing"</x:formula1>
    </x:dataValidation>
    <x:dataValidation type="list" sqref="L24">
      <x:formula1>"Supported,Unsupported,Missing"</x:formula1>
    </x:dataValidation>
    <x:dataValidation type="list" sqref="K25">
      <x:formula1>"Correctly omitted,Invented"</x:formula1>
    </x:dataValidation>
    <x:dataValidation type="list" sqref="L25">
      <x:formula1>"Not applicable"</x:formula1>
    </x:dataValidation>
    <x:dataValidation type="list" sqref="K26">
      <x:formula1>"Correctly omitted,Invented"</x:formula1>
    </x:dataValidation>
    <x:dataValidation type="list" sqref="L26">
      <x:formula1>"Not applicable"</x:formula1>
    </x:dataValidation>
    <x:dataValidation type="list" sqref="K27">
      <x:formula1>"Correct,Wrong,Missing"</x:formula1>
    </x:dataValidation>
    <x:dataValidation type="list" sqref="L27">
      <x:formula1>"Supported,Unsupported,Missing"</x:formula1>
    </x:dataValidation>
    <x:dataValidation type="list" sqref="K28">
      <x:formula1>"Correct,Wrong,Missing"</x:formula1>
    </x:dataValidation>
    <x:dataValidation type="list" sqref="L28">
      <x:formula1>"Supported,Unsupported,Missing"</x:formula1>
    </x:dataValidation>
    <x:dataValidation type="list" sqref="K29">
      <x:formula1>"Correct,Wrong,Missing"</x:formula1>
    </x:dataValidation>
    <x:dataValidation type="list" sqref="L29">
      <x:formula1>"Supported,Unsupported,Missing"</x:formula1>
    </x:dataValidation>
    <x:dataValidation type="list" sqref="K30">
      <x:formula1>"Correctly omitted,Invented"</x:formula1>
    </x:dataValidation>
    <x:dataValidation type="list" sqref="L30">
      <x:formula1>"Not applicable"</x:formula1>
    </x:dataValidation>
    <x:dataValidation type="list" sqref="K31">
      <x:formula1>"Correct,Wrong,Missing"</x:formula1>
    </x:dataValidation>
    <x:dataValidation type="list" sqref="L31">
      <x:formula1>"Supported,Unsupported,Missing"</x:formula1>
    </x:dataValidation>
    <x:dataValidation type="list" sqref="K32">
      <x:formula1>"Correct,Wrong,Missing"</x:formula1>
    </x:dataValidation>
    <x:dataValidation type="list" sqref="L32">
      <x:formula1>"Supported,Unsupported,Missing"</x:formula1>
    </x:dataValidation>
    <x:dataValidation type="list" sqref="K33">
      <x:formula1>"Correct,Wrong,Missing"</x:formula1>
    </x:dataValidation>
    <x:dataValidation type="list" sqref="L33">
      <x:formula1>"Supported,Unsupported,Missing"</x:formula1>
    </x:dataValidation>
    <x:dataValidation type="list" sqref="K34">
      <x:formula1>"Correct,Wrong,Missing"</x:formula1>
    </x:dataValidation>
    <x:dataValidation type="list" sqref="L34">
      <x:formula1>"Supported,Unsupported,Missing"</x:formula1>
    </x:dataValidation>
    <x:dataValidation type="list" sqref="K35">
      <x:formula1>"Correct,Wrong,Missing"</x:formula1>
    </x:dataValidation>
    <x:dataValidation type="list" sqref="L35">
      <x:formula1>"Supported,Unsupported,Missing"</x:formula1>
    </x:dataValidation>
    <x:dataValidation type="list" sqref="K36">
      <x:formula1>"Correct,Wrong,Missing"</x:formula1>
    </x:dataValidation>
    <x:dataValidation type="list" sqref="L36">
      <x:formula1>"Supported,Unsupported,Missing"</x:formula1>
    </x:dataValidation>
    <x:dataValidation type="list" sqref="K37">
      <x:formula1>"Correctly omitted,Invented"</x:formula1>
    </x:dataValidation>
    <x:dataValidation type="list" sqref="L37">
      <x:formula1>"Not applicable"</x:formula1>
    </x:dataValidation>
    <x:dataValidation type="list" sqref="K38">
      <x:formula1>"Correctly omitted,Invented"</x:formula1>
    </x:dataValidation>
    <x:dataValidation type="list" sqref="L38">
      <x:formula1>"Not applicable"</x:formula1>
    </x:dataValidation>
    <x:dataValidation type="list" sqref="K39">
      <x:formula1>"Correctly omitted,Invented"</x:formula1>
    </x:dataValidation>
    <x:dataValidation type="list" sqref="L39">
      <x:formula1>"Not applicable"</x:formula1>
    </x:dataValidation>
    <x:dataValidation type="list" sqref="K40">
      <x:formula1>"Correctly omitted,Invented"</x:formula1>
    </x:dataValidation>
    <x:dataValidation type="list" sqref="L40">
      <x:formula1>"Not applicable"</x:formula1>
    </x:dataValidation>
    <x:dataValidation type="list" sqref="K41">
      <x:formula1>"Correct,Wrong,Missing"</x:formula1>
    </x:dataValidation>
    <x:dataValidation type="list" sqref="L41">
      <x:formula1>"Supported,Unsupported,Missing"</x:formula1>
    </x:dataValidation>
    <x:dataValidation type="list" sqref="K42">
      <x:formula1>"Correct,Wrong,Missing"</x:formula1>
    </x:dataValidation>
    <x:dataValidation type="list" sqref="L42">
      <x:formula1>"Supported,Unsupported,Missing"</x:formula1>
    </x:dataValidation>
    <x:dataValidation type="list" sqref="K43">
      <x:formula1>"Correct,Wrong,Missing"</x:formula1>
    </x:dataValidation>
    <x:dataValidation type="list" sqref="L43">
      <x:formula1>"Supported,Unsupported,Missing"</x:formula1>
    </x:dataValidation>
    <x:dataValidation type="list" sqref="K44">
      <x:formula1>"Correct,Wrong,Missing"</x:formula1>
    </x:dataValidation>
    <x:dataValidation type="list" sqref="L44">
      <x:formula1>"Supported,Unsupported,Missing"</x:formula1>
    </x:dataValidation>
    <x:dataValidation type="list" sqref="K45">
      <x:formula1>"Correct,Wrong,Missing"</x:formula1>
    </x:dataValidation>
    <x:dataValidation type="list" sqref="L45">
      <x:formula1>"Supported,Unsupported,Missing"</x:formula1>
    </x:dataValidation>
    <x:dataValidation type="list" sqref="K46">
      <x:formula1>"Correctly omitted,Invented"</x:formula1>
    </x:dataValidation>
    <x:dataValidation type="list" sqref="L46">
      <x:formula1>"Not applicable"</x:formula1>
    </x:dataValidation>
    <x:dataValidation type="list" sqref="K47">
      <x:formula1>"Correct,Wrong,Missing"</x:formula1>
    </x:dataValidation>
    <x:dataValidation type="list" sqref="L47">
      <x:formula1>"Supported,Unsupported,Missing"</x:formula1>
    </x:dataValidation>
    <x:dataValidation type="list" sqref="K48">
      <x:formula1>"Correct,Wrong,Missing"</x:formula1>
    </x:dataValidation>
    <x:dataValidation type="list" sqref="L48">
      <x:formula1>"Supported,Unsupported,Missing"</x:formula1>
    </x:dataValidation>
    <x:dataValidation type="list" sqref="K49">
      <x:formula1>"Correctly omitted,Invented"</x:formula1>
    </x:dataValidation>
    <x:dataValidation type="list" sqref="L49">
      <x:formula1>"Not applicable"</x:formula1>
    </x:dataValidation>
    <x:dataValidation type="list" sqref="K50">
      <x:formula1>"Correct,Wrong,Missing"</x:formula1>
    </x:dataValidation>
    <x:dataValidation type="list" sqref="L50">
      <x:formula1>"Supported,Unsupported,Missing"</x:formula1>
    </x:dataValidation>
    <x:dataValidation type="list" sqref="K51">
      <x:formula1>"Correct,Wrong,Missing"</x:formula1>
    </x:dataValidation>
    <x:dataValidation type="list" sqref="L51">
      <x:formula1>"Supported,Unsupported,Missing"</x:formula1>
    </x:dataValidation>
    <x:dataValidation type="list" sqref="K52">
      <x:formula1>"Correct,Wrong,Missing"</x:formula1>
    </x:dataValidation>
    <x:dataValidation type="list" sqref="L52">
      <x:formula1>"Supported,Unsupported,Missing"</x:formula1>
    </x:dataValidation>
    <x:dataValidation type="list" sqref="K53">
      <x:formula1>"Correctly omitted,Invented"</x:formula1>
    </x:dataValidation>
    <x:dataValidation type="list" sqref="L53">
      <x:formula1>"Not applicable"</x:formula1>
    </x:dataValidation>
    <x:dataValidation type="list" sqref="K54">
      <x:formula1>"Correctly omitted,Invented"</x:formula1>
    </x:dataValidation>
    <x:dataValidation type="list" sqref="L54">
      <x:formula1>"Not applicable"</x:formula1>
    </x:dataValidation>
    <x:dataValidation type="list" sqref="K55">
      <x:formula1>"Correctly omitted,Invented"</x:formula1>
    </x:dataValidation>
    <x:dataValidation type="list" sqref="L55">
      <x:formula1>"Not applicable"</x:formula1>
    </x:dataValidation>
    <x:dataValidation type="list" sqref="K56">
      <x:formula1>"Correct,Wrong,Missing"</x:formula1>
    </x:dataValidation>
    <x:dataValidation type="list" sqref="L56">
      <x:formula1>"Supported,Unsupported,Missing"</x:formula1>
    </x:dataValidation>
    <x:dataValidation type="list" sqref="K57">
      <x:formula1>"Correctly omitted,Invented"</x:formula1>
    </x:dataValidation>
    <x:dataValidation type="list" sqref="L57">
      <x:formula1>"Not applicable"</x:formula1>
    </x:dataValidation>
    <x:dataValidation type="list" sqref="K58">
      <x:formula1>"Correctly omitted,Invented"</x:formula1>
    </x:dataValidation>
    <x:dataValidation type="list" sqref="L58">
      <x:formula1>"Not applicable"</x:formula1>
    </x:dataValidation>
    <x:dataValidation type="list" sqref="K59">
      <x:formula1>"Correct,Wrong,Missing"</x:formula1>
    </x:dataValidation>
    <x:dataValidation type="list" sqref="L59">
      <x:formula1>"Supported,Unsupported,Missing"</x:formula1>
    </x:dataValidation>
    <x:dataValidation type="list" sqref="K60">
      <x:formula1>"Correct,Wrong,Missing"</x:formula1>
    </x:dataValidation>
    <x:dataValidation type="list" sqref="L60">
      <x:formula1>"Supported,Unsupported,Missing"</x:formula1>
    </x:dataValidation>
    <x:dataValidation type="list" sqref="K61">
      <x:formula1>"Correct,Wrong,Missing"</x:formula1>
    </x:dataValidation>
    <x:dataValidation type="list" sqref="L61">
      <x:formula1>"Supported,Unsupported,Missing"</x:formula1>
    </x:dataValidation>
    <x:dataValidation type="list" sqref="K62">
      <x:formula1>"Correctly omitted,Invented"</x:formula1>
    </x:dataValidation>
    <x:dataValidation type="list" sqref="L62">
      <x:formula1>"Not applicable"</x:formula1>
    </x:dataValidation>
    <x:dataValidation type="list" sqref="K63">
      <x:formula1>"Correct,Wrong,Missing"</x:formula1>
    </x:dataValidation>
    <x:dataValidation type="list" sqref="L63">
      <x:formula1>"Supported,Unsupported,Missing"</x:formula1>
    </x:dataValidation>
    <x:dataValidation type="list" sqref="K64">
      <x:formula1>"Correct,Wrong,Missing"</x:formula1>
    </x:dataValidation>
    <x:dataValidation type="list" sqref="L64">
      <x:formula1>"Supported,Unsupported,Missing"</x:formula1>
    </x:dataValidation>
    <x:dataValidation type="list" sqref="K65">
      <x:formula1>"Correct,Wrong,Missing"</x:formula1>
    </x:dataValidation>
    <x:dataValidation type="list" sqref="L65">
      <x:formula1>"Supported,Unsupported,Missing"</x:formula1>
    </x:dataValidation>
    <x:dataValidation type="list" sqref="K66">
      <x:formula1>"Correct,Wrong,Missing"</x:formula1>
    </x:dataValidation>
    <x:dataValidation type="list" sqref="L66">
      <x:formula1>"Supported,Unsupported,Missing"</x:formula1>
    </x:dataValidation>
    <x:dataValidation type="list" sqref="K67">
      <x:formula1>"Correct,Wrong,Missing"</x:formula1>
    </x:dataValidation>
    <x:dataValidation type="list" sqref="L67">
      <x:formula1>"Supported,Unsupported,Missing"</x:formula1>
    </x:dataValidation>
    <x:dataValidation type="list" sqref="K68">
      <x:formula1>"Correct,Wrong,Missing"</x:formula1>
    </x:dataValidation>
    <x:dataValidation type="list" sqref="L68">
      <x:formula1>"Supported,Unsupported,Missing"</x:formula1>
    </x:dataValidation>
    <x:dataValidation type="list" sqref="K69">
      <x:formula1>"Correctly omitted,Invented"</x:formula1>
    </x:dataValidation>
    <x:dataValidation type="list" sqref="L69">
      <x:formula1>"Not applicable"</x:formula1>
    </x:dataValidation>
    <x:dataValidation type="list" sqref="K70">
      <x:formula1>"Correctly omitted,Invented"</x:formula1>
    </x:dataValidation>
    <x:dataValidation type="list" sqref="L70">
      <x:formula1>"Not applicable"</x:formula1>
    </x:dataValidation>
    <x:dataValidation type="list" sqref="K71">
      <x:formula1>"Correctly omitted,Invented"</x:formula1>
    </x:dataValidation>
    <x:dataValidation type="list" sqref="L71">
      <x:formula1>"Not applicable"</x:formula1>
    </x:dataValidation>
    <x:dataValidation type="list" sqref="K72">
      <x:formula1>"Correctly omitted,Invented"</x:formula1>
    </x:dataValidation>
    <x:dataValidation type="list" sqref="L72">
      <x:formula1>"Not applicable"</x:formula1>
    </x:dataValidation>
    <x:dataValidation type="list" sqref="K73">
      <x:formula1>"Correct,Wrong,Missing"</x:formula1>
    </x:dataValidation>
    <x:dataValidation type="list" sqref="L73">
      <x:formula1>"Supported,Unsupported,Missing"</x:formula1>
    </x:dataValidation>
    <x:dataValidation type="list" sqref="K74">
      <x:formula1>"Correct,Wrong,Missing"</x:formula1>
    </x:dataValidation>
    <x:dataValidation type="list" sqref="L74">
      <x:formula1>"Supported,Unsupported,Missing"</x:formula1>
    </x:dataValidation>
    <x:dataValidation type="list" sqref="K75">
      <x:formula1>"Correct,Wrong,Missing"</x:formula1>
    </x:dataValidation>
    <x:dataValidation type="list" sqref="L75">
      <x:formula1>"Supported,Unsupported,Missing"</x:formula1>
    </x:dataValidation>
    <x:dataValidation type="list" sqref="K76">
      <x:formula1>"Correct,Wrong,Missing"</x:formula1>
    </x:dataValidation>
    <x:dataValidation type="list" sqref="L76">
      <x:formula1>"Supported,Unsupported,Missing"</x:formula1>
    </x:dataValidation>
    <x:dataValidation type="list" sqref="K77">
      <x:formula1>"Correct,Wrong,Missing"</x:formula1>
    </x:dataValidation>
    <x:dataValidation type="list" sqref="L77">
      <x:formula1>"Supported,Unsupported,Missing"</x:formula1>
    </x:dataValidation>
    <x:dataValidation type="list" sqref="K78">
      <x:formula1>"Correctly omitted,Invented"</x:formula1>
    </x:dataValidation>
    <x:dataValidation type="list" sqref="L78">
      <x:formula1>"Not applicable"</x:formula1>
    </x:dataValidation>
    <x:dataValidation type="list" sqref="K79">
      <x:formula1>"Correct,Wrong,Missing"</x:formula1>
    </x:dataValidation>
    <x:dataValidation type="list" sqref="L79">
      <x:formula1>"Supported,Unsupported,Missing"</x:formula1>
    </x:dataValidation>
    <x:dataValidation type="list" sqref="K80">
      <x:formula1>"Correct,Wrong,Missing"</x:formula1>
    </x:dataValidation>
    <x:dataValidation type="list" sqref="L80">
      <x:formula1>"Supported,Unsupported,Missing"</x:formula1>
    </x:dataValidation>
    <x:dataValidation type="list" sqref="K81">
      <x:formula1>"Correctly omitted,Invented"</x:formula1>
    </x:dataValidation>
    <x:dataValidation type="list" sqref="L81">
      <x:formula1>"Not applicable"</x:formula1>
    </x:dataValidation>
    <x:dataValidation type="list" sqref="K82">
      <x:formula1>"Correct,Wrong,Missing"</x:formula1>
    </x:dataValidation>
    <x:dataValidation type="list" sqref="L82">
      <x:formula1>"Supported,Unsupported,Missing"</x:formula1>
    </x:dataValidation>
    <x:dataValidation type="list" sqref="K83">
      <x:formula1>"Correct,Wrong,Missing"</x:formula1>
    </x:dataValidation>
    <x:dataValidation type="list" sqref="L83">
      <x:formula1>"Supported,Unsupported,Missing"</x:formula1>
    </x:dataValidation>
    <x:dataValidation type="list" sqref="K84">
      <x:formula1>"Correct,Wrong,Missing"</x:formula1>
    </x:dataValidation>
    <x:dataValidation type="list" sqref="L84">
      <x:formula1>"Supported,Unsupported,Missing"</x:formula1>
    </x:dataValidation>
    <x:dataValidation type="list" sqref="K85">
      <x:formula1>"Correctly omitted,Invented"</x:formula1>
    </x:dataValidation>
    <x:dataValidation type="list" sqref="L85">
      <x:formula1>"Not applicable"</x:formula1>
    </x:dataValidation>
    <x:dataValidation type="list" sqref="K86">
      <x:formula1>"Correctly omitted,Invented"</x:formula1>
    </x:dataValidation>
    <x:dataValidation type="list" sqref="L86">
      <x:formula1>"Not applicable"</x:formula1>
    </x:dataValidation>
    <x:dataValidation type="list" sqref="K87">
      <x:formula1>"Correctly omitted,Invented"</x:formula1>
    </x:dataValidation>
    <x:dataValidation type="list" sqref="L87">
      <x:formula1>"Not applicable"</x:formula1>
    </x:dataValidation>
    <x:dataValidation type="list" sqref="K88">
      <x:formula1>"Correct,Wrong,Missing"</x:formula1>
    </x:dataValidation>
    <x:dataValidation type="list" sqref="L88">
      <x:formula1>"Supported,Unsupported,Missing"</x:formula1>
    </x:dataValidation>
    <x:dataValidation type="list" sqref="K89">
      <x:formula1>"Correctly omitted,Invented"</x:formula1>
    </x:dataValidation>
    <x:dataValidation type="list" sqref="L89">
      <x:formula1>"Not applicable"</x:formula1>
    </x:dataValidation>
    <x:dataValidation type="list" sqref="K90">
      <x:formula1>"Correctly omitted,Invented"</x:formula1>
    </x:dataValidation>
    <x:dataValidation type="list" sqref="L90">
      <x:formula1>"Not applicable"</x:formula1>
    </x:dataValidation>
    <x:dataValidation type="list" sqref="K91">
      <x:formula1>"Correct,Wrong,Missing"</x:formula1>
    </x:dataValidation>
    <x:dataValidation type="list" sqref="L91">
      <x:formula1>"Supported,Unsupported,Missing"</x:formula1>
    </x:dataValidation>
    <x:dataValidation type="list" sqref="K92">
      <x:formula1>"Correct,Wrong,Missing"</x:formula1>
    </x:dataValidation>
    <x:dataValidation type="list" sqref="L92">
      <x:formula1>"Supported,Unsupported,Missing"</x:formula1>
    </x:dataValidation>
    <x:dataValidation type="list" sqref="K93">
      <x:formula1>"Correct,Wrong,Missing"</x:formula1>
    </x:dataValidation>
    <x:dataValidation type="list" sqref="L93">
      <x:formula1>"Supported,Unsupported,Missing"</x:formula1>
    </x:dataValidation>
    <x:dataValidation type="list" sqref="K94">
      <x:formula1>"Correctly omitted,Invented"</x:formula1>
    </x:dataValidation>
    <x:dataValidation type="list" sqref="L94">
      <x:formula1>"Not applicable"</x:formula1>
    </x:dataValidation>
    <x:dataValidation type="list" sqref="K95">
      <x:formula1>"Correct,Wrong,Missing"</x:formula1>
    </x:dataValidation>
    <x:dataValidation type="list" sqref="L95">
      <x:formula1>"Supported,Unsupported,Missing"</x:formula1>
    </x:dataValidation>
    <x:dataValidation type="list" sqref="K96">
      <x:formula1>"Correct,Wrong,Missing"</x:formula1>
    </x:dataValidation>
    <x:dataValidation type="list" sqref="L96">
      <x:formula1>"Supported,Unsupported,Missing"</x:formula1>
    </x:dataValidation>
    <x:dataValidation type="list" sqref="K97">
      <x:formula1>"Correct,Wrong,Missing"</x:formula1>
    </x:dataValidation>
    <x:dataValidation type="list" sqref="L97">
      <x:formula1>"Supported,Unsupported,Missing"</x:formula1>
    </x:dataValidation>
    <x:dataValidation type="list" sqref="K98">
      <x:formula1>"Correct,Wrong,Missing"</x:formula1>
    </x:dataValidation>
    <x:dataValidation type="list" sqref="L98">
      <x:formula1>"Supported,Unsupported,Missing"</x:formula1>
    </x:dataValidation>
    <x:dataValidation type="list" sqref="K99">
      <x:formula1>"Correct,Wrong,Missing"</x:formula1>
    </x:dataValidation>
    <x:dataValidation type="list" sqref="L99">
      <x:formula1>"Supported,Unsupported,Missing"</x:formula1>
    </x:dataValidation>
    <x:dataValidation type="list" sqref="K100">
      <x:formula1>"Correct,Wrong,Missing"</x:formula1>
    </x:dataValidation>
    <x:dataValidation type="list" sqref="L100">
      <x:formula1>"Supported,Unsupported,Missing"</x:formula1>
    </x:dataValidation>
    <x:dataValidation type="list" sqref="K101">
      <x:formula1>"Correctly omitted,Invented"</x:formula1>
    </x:dataValidation>
    <x:dataValidation type="list" sqref="L101">
      <x:formula1>"Not applicable"</x:formula1>
    </x:dataValidation>
    <x:dataValidation type="list" sqref="K102">
      <x:formula1>"Correctly omitted,Invented"</x:formula1>
    </x:dataValidation>
    <x:dataValidation type="list" sqref="L102">
      <x:formula1>"Not applicable"</x:formula1>
    </x:dataValidation>
    <x:dataValidation type="list" sqref="K103">
      <x:formula1>"Correctly omitted,Invented"</x:formula1>
    </x:dataValidation>
    <x:dataValidation type="list" sqref="L103">
      <x:formula1>"Not applicable"</x:formula1>
    </x:dataValidation>
    <x:dataValidation type="list" sqref="K104">
      <x:formula1>"Correctly omitted,Invented"</x:formula1>
    </x:dataValidation>
    <x:dataValidation type="list" sqref="L104">
      <x:formula1>"Not applicable"</x:formula1>
    </x:dataValidation>
    <x:dataValidation type="list" sqref="K105">
      <x:formula1>"Correct,Wrong,Missing"</x:formula1>
    </x:dataValidation>
    <x:dataValidation type="list" sqref="L105">
      <x:formula1>"Supported,Unsupported,Missing"</x:formula1>
    </x:dataValidation>
    <x:dataValidation type="list" sqref="K106">
      <x:formula1>"Correct,Wrong,Missing"</x:formula1>
    </x:dataValidation>
    <x:dataValidation type="list" sqref="L106">
      <x:formula1>"Supported,Unsupported,Missing"</x:formula1>
    </x:dataValidation>
    <x:dataValidation type="list" sqref="K107">
      <x:formula1>"Correct,Wrong,Missing"</x:formula1>
    </x:dataValidation>
    <x:dataValidation type="list" sqref="L107">
      <x:formula1>"Supported,Unsupported,Missing"</x:formula1>
    </x:dataValidation>
    <x:dataValidation type="list" sqref="K108">
      <x:formula1>"Correct,Wrong,Missing"</x:formula1>
    </x:dataValidation>
    <x:dataValidation type="list" sqref="L108">
      <x:formula1>"Supported,Unsupported,Missing"</x:formula1>
    </x:dataValidation>
    <x:dataValidation type="list" sqref="K109">
      <x:formula1>"Correct,Wrong,Missing"</x:formula1>
    </x:dataValidation>
    <x:dataValidation type="list" sqref="L109">
      <x:formula1>"Supported,Unsupported,Missing"</x:formula1>
    </x:dataValidation>
    <x:dataValidation type="list" sqref="K110">
      <x:formula1>"Correctly omitted,Invented"</x:formula1>
    </x:dataValidation>
    <x:dataValidation type="list" sqref="L110">
      <x:formula1>"Not applicable"</x:formula1>
    </x:dataValidation>
    <x:dataValidation type="list" sqref="K111">
      <x:formula1>"Correct,Wrong,Missing"</x:formula1>
    </x:dataValidation>
    <x:dataValidation type="list" sqref="L111">
      <x:formula1>"Supported,Unsupported,Missing"</x:formula1>
    </x:dataValidation>
    <x:dataValidation type="list" sqref="K112">
      <x:formula1>"Correct,Wrong,Missing"</x:formula1>
    </x:dataValidation>
    <x:dataValidation type="list" sqref="L112">
      <x:formula1>"Supported,Unsupported,Missing"</x:formula1>
    </x:dataValidation>
    <x:dataValidation type="list" sqref="K113">
      <x:formula1>"Correctly omitted,Invented"</x:formula1>
    </x:dataValidation>
    <x:dataValidation type="list" sqref="L113">
      <x:formula1>"Not applicable"</x:formula1>
    </x:dataValidation>
    <x:dataValidation type="list" sqref="K114">
      <x:formula1>"Correct,Wrong,Missing"</x:formula1>
    </x:dataValidation>
    <x:dataValidation type="list" sqref="L114">
      <x:formula1>"Supported,Unsupported,Missing"</x:formula1>
    </x:dataValidation>
    <x:dataValidation type="list" sqref="K115">
      <x:formula1>"Correct,Wrong,Missing"</x:formula1>
    </x:dataValidation>
    <x:dataValidation type="list" sqref="L115">
      <x:formula1>"Supported,Unsupported,Missing"</x:formula1>
    </x:dataValidation>
    <x:dataValidation type="list" sqref="K116">
      <x:formula1>"Correct,Wrong,Missing"</x:formula1>
    </x:dataValidation>
    <x:dataValidation type="list" sqref="L116">
      <x:formula1>"Supported,Unsupported,Missing"</x:formula1>
    </x:dataValidation>
    <x:dataValidation type="list" sqref="K117">
      <x:formula1>"Correctly omitted,Invented"</x:formula1>
    </x:dataValidation>
    <x:dataValidation type="list" sqref="L117">
      <x:formula1>"Not applicable"</x:formula1>
    </x:dataValidation>
    <x:dataValidation type="list" sqref="K118">
      <x:formula1>"Correctly omitted,Invented"</x:formula1>
    </x:dataValidation>
    <x:dataValidation type="list" sqref="L118">
      <x:formula1>"Not applicable"</x:formula1>
    </x:dataValidation>
    <x:dataValidation type="list" sqref="K119">
      <x:formula1>"Correctly omitted,Invented"</x:formula1>
    </x:dataValidation>
    <x:dataValidation type="list" sqref="L119">
      <x:formula1>"Not applicable"</x:formula1>
    </x:dataValidation>
    <x:dataValidation type="list" sqref="K120">
      <x:formula1>"Correct,Wrong,Missing"</x:formula1>
    </x:dataValidation>
    <x:dataValidation type="list" sqref="L120">
      <x:formula1>"Supported,Unsupported,Missing"</x:formula1>
    </x:dataValidation>
    <x:dataValidation type="list" sqref="K121">
      <x:formula1>"Correctly omitted,Invented"</x:formula1>
    </x:dataValidation>
    <x:dataValidation type="list" sqref="L121">
      <x:formula1>"Not applicable"</x:formula1>
    </x:dataValidation>
    <x:dataValidation type="list" sqref="K122">
      <x:formula1>"Correctly omitted,Invented"</x:formula1>
    </x:dataValidation>
    <x:dataValidation type="list" sqref="L122">
      <x:formula1>"Not applicable"</x:formula1>
    </x:dataValidation>
    <x:dataValidation type="list" sqref="K123">
      <x:formula1>"Correct,Wrong,Missing"</x:formula1>
    </x:dataValidation>
    <x:dataValidation type="list" sqref="L123">
      <x:formula1>"Supported,Unsupported,Missing"</x:formula1>
    </x:dataValidation>
    <x:dataValidation type="list" sqref="K124">
      <x:formula1>"Correct,Wrong,Missing"</x:formula1>
    </x:dataValidation>
    <x:dataValidation type="list" sqref="L124">
      <x:formula1>"Supported,Unsupported,Missing"</x:formula1>
    </x:dataValidation>
    <x:dataValidation type="list" sqref="K125">
      <x:formula1>"Correct,Wrong,Missing"</x:formula1>
    </x:dataValidation>
    <x:dataValidation type="list" sqref="L125">
      <x:formula1>"Supported,Unsupported,Missing"</x:formula1>
    </x:dataValidation>
    <x:dataValidation type="list" sqref="K126">
      <x:formula1>"Correctly omitted,Invented"</x:formula1>
    </x:dataValidation>
    <x:dataValidation type="list" sqref="L126">
      <x:formula1>"Not applicable"</x:formula1>
    </x:dataValidation>
    <x:dataValidation type="list" sqref="K127">
      <x:formula1>"Correct,Wrong,Missing"</x:formula1>
    </x:dataValidation>
    <x:dataValidation type="list" sqref="L127">
      <x:formula1>"Supported,Unsupported,Missing"</x:formula1>
    </x:dataValidation>
    <x:dataValidation type="list" sqref="K128">
      <x:formula1>"Correct,Wrong,Missing"</x:formula1>
    </x:dataValidation>
    <x:dataValidation type="list" sqref="L128">
      <x:formula1>"Supported,Unsupported,Missing"</x:formula1>
    </x:dataValidation>
    <x:dataValidation type="list" sqref="K129">
      <x:formula1>"Correct,Wrong,Missing"</x:formula1>
    </x:dataValidation>
    <x:dataValidation type="list" sqref="L129">
      <x:formula1>"Supported,Unsupported,Missing"</x:formula1>
    </x:dataValidation>
    <x:dataValidation type="list" sqref="K130">
      <x:formula1>"Correct,Wrong,Missing"</x:formula1>
    </x:dataValidation>
    <x:dataValidation type="list" sqref="L130">
      <x:formula1>"Supported,Unsupported,Missing"</x:formula1>
    </x:dataValidation>
    <x:dataValidation type="list" sqref="K131">
      <x:formula1>"Correct,Wrong,Missing"</x:formula1>
    </x:dataValidation>
    <x:dataValidation type="list" sqref="L131">
      <x:formula1>"Supported,Unsupported,Missing"</x:formula1>
    </x:dataValidation>
    <x:dataValidation type="list" sqref="K132">
      <x:formula1>"Correct,Wrong,Missing"</x:formula1>
    </x:dataValidation>
    <x:dataValidation type="list" sqref="L132">
      <x:formula1>"Supported,Unsupported,Missing"</x:formula1>
    </x:dataValidation>
    <x:dataValidation type="list" sqref="K133">
      <x:formula1>"Correctly omitted,Invented"</x:formula1>
    </x:dataValidation>
    <x:dataValidation type="list" sqref="L133">
      <x:formula1>"Not applicable"</x:formula1>
    </x:dataValidation>
    <x:dataValidation type="list" sqref="K134">
      <x:formula1>"Correctly omitted,Invented"</x:formula1>
    </x:dataValidation>
    <x:dataValidation type="list" sqref="L134">
      <x:formula1>"Not applicable"</x:formula1>
    </x:dataValidation>
    <x:dataValidation type="list" sqref="K135">
      <x:formula1>"Correctly omitted,Invented"</x:formula1>
    </x:dataValidation>
    <x:dataValidation type="list" sqref="L135">
      <x:formula1>"Not applicable"</x:formula1>
    </x:dataValidation>
    <x:dataValidation type="list" sqref="K136">
      <x:formula1>"Correctly omitted,Invented"</x:formula1>
    </x:dataValidation>
    <x:dataValidation type="list" sqref="L136">
      <x:formula1>"Not applicable"</x:formula1>
    </x:dataValidation>
    <x:dataValidation type="list" sqref="K137">
      <x:formula1>"Correct,Wrong,Missing"</x:formula1>
    </x:dataValidation>
    <x:dataValidation type="list" sqref="L137">
      <x:formula1>"Supported,Unsupported,Missing"</x:formula1>
    </x:dataValidation>
    <x:dataValidation type="list" sqref="K138">
      <x:formula1>"Correct,Wrong,Missing"</x:formula1>
    </x:dataValidation>
    <x:dataValidation type="list" sqref="L138">
      <x:formula1>"Supported,Unsupported,Missing"</x:formula1>
    </x:dataValidation>
    <x:dataValidation type="list" sqref="K139">
      <x:formula1>"Correct,Wrong,Missing"</x:formula1>
    </x:dataValidation>
    <x:dataValidation type="list" sqref="L139">
      <x:formula1>"Supported,Unsupported,Missing"</x:formula1>
    </x:dataValidation>
    <x:dataValidation type="list" sqref="K140">
      <x:formula1>"Correct,Wrong,Missing"</x:formula1>
    </x:dataValidation>
    <x:dataValidation type="list" sqref="L140">
      <x:formula1>"Supported,Unsupported,Missing"</x:formula1>
    </x:dataValidation>
    <x:dataValidation type="list" sqref="K141">
      <x:formula1>"Correct,Wrong,Missing"</x:formula1>
    </x:dataValidation>
    <x:dataValidation type="list" sqref="L141">
      <x:formula1>"Supported,Unsupported,Missing"</x:formula1>
    </x:dataValidation>
    <x:dataValidation type="list" sqref="K142">
      <x:formula1>"Correctly omitted,Invented"</x:formula1>
    </x:dataValidation>
    <x:dataValidation type="list" sqref="L142">
      <x:formula1>"Not applicable"</x:formula1>
    </x:dataValidation>
    <x:dataValidation type="list" sqref="K143">
      <x:formula1>"Correct,Wrong,Missing"</x:formula1>
    </x:dataValidation>
    <x:dataValidation type="list" sqref="L143">
      <x:formula1>"Supported,Unsupported,Missing"</x:formula1>
    </x:dataValidation>
    <x:dataValidation type="list" sqref="K144">
      <x:formula1>"Correct,Wrong,Missing"</x:formula1>
    </x:dataValidation>
    <x:dataValidation type="list" sqref="L144">
      <x:formula1>"Supported,Unsupported,Missing"</x:formula1>
    </x:dataValidation>
    <x:dataValidation type="list" sqref="K145">
      <x:formula1>"Correctly omitted,Invented"</x:formula1>
    </x:dataValidation>
    <x:dataValidation type="list" sqref="L145">
      <x:formula1>"Not applicable"</x:formula1>
    </x:dataValidation>
    <x:dataValidation type="list" sqref="K146">
      <x:formula1>"Correct,Wrong,Missing"</x:formula1>
    </x:dataValidation>
    <x:dataValidation type="list" sqref="L146">
      <x:formula1>"Supported,Unsupported,Missing"</x:formula1>
    </x:dataValidation>
    <x:dataValidation type="list" sqref="K147">
      <x:formula1>"Correct,Wrong,Missing"</x:formula1>
    </x:dataValidation>
    <x:dataValidation type="list" sqref="L147">
      <x:formula1>"Supported,Unsupported,Missing"</x:formula1>
    </x:dataValidation>
    <x:dataValidation type="list" sqref="K148">
      <x:formula1>"Correct,Wrong,Missing"</x:formula1>
    </x:dataValidation>
    <x:dataValidation type="list" sqref="L148">
      <x:formula1>"Supported,Unsupported,Missing"</x:formula1>
    </x:dataValidation>
    <x:dataValidation type="list" sqref="K149">
      <x:formula1>"Correctly omitted,Invented"</x:formula1>
    </x:dataValidation>
    <x:dataValidation type="list" sqref="L149">
      <x:formula1>"Not applicable"</x:formula1>
    </x:dataValidation>
    <x:dataValidation type="list" sqref="K150">
      <x:formula1>"Correctly omitted,Invented"</x:formula1>
    </x:dataValidation>
    <x:dataValidation type="list" sqref="L150">
      <x:formula1>"Not applicable"</x:formula1>
    </x:dataValidation>
    <x:dataValidation type="list" sqref="K151">
      <x:formula1>"Correctly omitted,Invented"</x:formula1>
    </x:dataValidation>
    <x:dataValidation type="list" sqref="L151">
      <x:formula1>"Not applicable"</x:formula1>
    </x:dataValidation>
    <x:dataValidation type="list" sqref="K152">
      <x:formula1>"Correct,Wrong,Missing"</x:formula1>
    </x:dataValidation>
    <x:dataValidation type="list" sqref="L152">
      <x:formula1>"Supported,Unsupported,Missing"</x:formula1>
    </x:dataValidation>
    <x:dataValidation type="list" sqref="K153">
      <x:formula1>"Correctly omitted,Invented"</x:formula1>
    </x:dataValidation>
    <x:dataValidation type="list" sqref="L153">
      <x:formula1>"Not applicable"</x:formula1>
    </x:dataValidation>
    <x:dataValidation type="list" sqref="K154">
      <x:formula1>"Correctly omitted,Invented"</x:formula1>
    </x:dataValidation>
    <x:dataValidation type="list" sqref="L154">
      <x:formula1>"Not applicable"</x:formula1>
    </x:dataValidation>
    <x:dataValidation type="list" sqref="K155">
      <x:formula1>"Correct,Wrong,Missing"</x:formula1>
    </x:dataValidation>
    <x:dataValidation type="list" sqref="L155">
      <x:formula1>"Supported,Unsupported,Missing"</x:formula1>
    </x:dataValidation>
    <x:dataValidation type="list" sqref="K156">
      <x:formula1>"Correct,Wrong,Missing"</x:formula1>
    </x:dataValidation>
    <x:dataValidation type="list" sqref="L156">
      <x:formula1>"Supported,Unsupported,Missing"</x:formula1>
    </x:dataValidation>
    <x:dataValidation type="list" sqref="K157">
      <x:formula1>"Correct,Wrong,Missing"</x:formula1>
    </x:dataValidation>
    <x:dataValidation type="list" sqref="L157">
      <x:formula1>"Supported,Unsupported,Missing"</x:formula1>
    </x:dataValidation>
    <x:dataValidation type="list" sqref="K158">
      <x:formula1>"Correctly omitted,Invented"</x:formula1>
    </x:dataValidation>
    <x:dataValidation type="list" sqref="L158">
      <x:formula1>"Not applicable"</x:formula1>
    </x:dataValidation>
    <x:dataValidation type="list" sqref="K159">
      <x:formula1>"Correct,Wrong,Missing"</x:formula1>
    </x:dataValidation>
    <x:dataValidation type="list" sqref="L159">
      <x:formula1>"Supported,Unsupported,Missing"</x:formula1>
    </x:dataValidation>
    <x:dataValidation type="list" sqref="K160">
      <x:formula1>"Correct,Wrong,Missing"</x:formula1>
    </x:dataValidation>
    <x:dataValidation type="list" sqref="L160">
      <x:formula1>"Supported,Unsupported,Missing"</x:formula1>
    </x:dataValidation>
    <x:dataValidation type="list" sqref="K161">
      <x:formula1>"Correct,Wrong,Missing"</x:formula1>
    </x:dataValidation>
    <x:dataValidation type="list" sqref="L161">
      <x:formula1>"Supported,Unsupported,Missing"</x:formula1>
    </x:dataValidation>
    <x:dataValidation type="list" sqref="K162">
      <x:formula1>"Correct,Wrong,Missing"</x:formula1>
    </x:dataValidation>
    <x:dataValidation type="list" sqref="L162">
      <x:formula1>"Supported,Unsupported,Missing"</x:formula1>
    </x:dataValidation>
    <x:dataValidation type="list" sqref="K163">
      <x:formula1>"Correct,Wrong,Missing"</x:formula1>
    </x:dataValidation>
    <x:dataValidation type="list" sqref="L163">
      <x:formula1>"Supported,Unsupported,Missing"</x:formula1>
    </x:dataValidation>
    <x:dataValidation type="list" sqref="K164">
      <x:formula1>"Correct,Wrong,Missing"</x:formula1>
    </x:dataValidation>
    <x:dataValidation type="list" sqref="L164">
      <x:formula1>"Supported,Unsupported,Missing"</x:formula1>
    </x:dataValidation>
    <x:dataValidation type="list" sqref="K165">
      <x:formula1>"Correctly omitted,Invented"</x:formula1>
    </x:dataValidation>
    <x:dataValidation type="list" sqref="L165">
      <x:formula1>"Not applicable"</x:formula1>
    </x:dataValidation>
    <x:dataValidation type="list" sqref="K166">
      <x:formula1>"Correctly omitted,Invented"</x:formula1>
    </x:dataValidation>
    <x:dataValidation type="list" sqref="L166">
      <x:formula1>"Not applicable"</x:formula1>
    </x:dataValidation>
    <x:dataValidation type="list" sqref="K167">
      <x:formula1>"Correctly omitted,Invented"</x:formula1>
    </x:dataValidation>
    <x:dataValidation type="list" sqref="L167">
      <x:formula1>"Not applicable"</x:formula1>
    </x:dataValidation>
    <x:dataValidation type="list" sqref="K168">
      <x:formula1>"Correctly omitted,Invented"</x:formula1>
    </x:dataValidation>
    <x:dataValidation type="list" sqref="L168">
      <x:formula1>"Not applicable"</x:formula1>
    </x:dataValidation>
    <x:dataValidation type="list" sqref="K169">
      <x:formula1>"Correct,Wrong,Missing"</x:formula1>
    </x:dataValidation>
    <x:dataValidation type="list" sqref="L169">
      <x:formula1>"Supported,Unsupported,Missing"</x:formula1>
    </x:dataValidation>
    <x:dataValidation type="list" sqref="K170">
      <x:formula1>"Correct,Wrong,Missing"</x:formula1>
    </x:dataValidation>
    <x:dataValidation type="list" sqref="L170">
      <x:formula1>"Supported,Unsupported,Missing"</x:formula1>
    </x:dataValidation>
    <x:dataValidation type="list" sqref="K171">
      <x:formula1>"Correct,Wrong,Missing"</x:formula1>
    </x:dataValidation>
    <x:dataValidation type="list" sqref="L171">
      <x:formula1>"Supported,Unsupported,Missing"</x:formula1>
    </x:dataValidation>
    <x:dataValidation type="list" sqref="K172">
      <x:formula1>"Correct,Wrong,Missing"</x:formula1>
    </x:dataValidation>
    <x:dataValidation type="list" sqref="L172">
      <x:formula1>"Supported,Unsupported,Missing"</x:formula1>
    </x:dataValidation>
    <x:dataValidation type="list" sqref="K173">
      <x:formula1>"Correct,Wrong,Missing"</x:formula1>
    </x:dataValidation>
    <x:dataValidation type="list" sqref="L173">
      <x:formula1>"Supported,Unsupported,Missing"</x:formula1>
    </x:dataValidation>
    <x:dataValidation type="list" sqref="K174">
      <x:formula1>"Correctly omitted,Invented"</x:formula1>
    </x:dataValidation>
    <x:dataValidation type="list" sqref="L174">
      <x:formula1>"Not applicable"</x:formula1>
    </x:dataValidation>
    <x:dataValidation type="list" sqref="K175">
      <x:formula1>"Correct,Wrong,Missing"</x:formula1>
    </x:dataValidation>
    <x:dataValidation type="list" sqref="L175">
      <x:formula1>"Supported,Unsupported,Missing"</x:formula1>
    </x:dataValidation>
    <x:dataValidation type="list" sqref="K176">
      <x:formula1>"Correct,Wrong,Missing"</x:formula1>
    </x:dataValidation>
    <x:dataValidation type="list" sqref="L176">
      <x:formula1>"Supported,Unsupported,Missing"</x:formula1>
    </x:dataValidation>
    <x:dataValidation type="list" sqref="K177">
      <x:formula1>"Correctly omitted,Invented"</x:formula1>
    </x:dataValidation>
    <x:dataValidation type="list" sqref="L177">
      <x:formula1>"Not applicable"</x:formula1>
    </x:dataValidation>
    <x:dataValidation type="list" sqref="K178">
      <x:formula1>"Correct,Wrong,Missing"</x:formula1>
    </x:dataValidation>
    <x:dataValidation type="list" sqref="L178">
      <x:formula1>"Supported,Unsupported,Missing"</x:formula1>
    </x:dataValidation>
    <x:dataValidation type="list" sqref="K179">
      <x:formula1>"Correct,Wrong,Missing"</x:formula1>
    </x:dataValidation>
    <x:dataValidation type="list" sqref="L179">
      <x:formula1>"Supported,Unsupported,Missing"</x:formula1>
    </x:dataValidation>
    <x:dataValidation type="list" sqref="K180">
      <x:formula1>"Correct,Wrong,Missing"</x:formula1>
    </x:dataValidation>
    <x:dataValidation type="list" sqref="L180">
      <x:formula1>"Supported,Unsupported,Missing"</x:formula1>
    </x:dataValidation>
    <x:dataValidation type="list" sqref="K181">
      <x:formula1>"Correctly omitted,Invented"</x:formula1>
    </x:dataValidation>
    <x:dataValidation type="list" sqref="L181">
      <x:formula1>"Not applicable"</x:formula1>
    </x:dataValidation>
    <x:dataValidation type="list" sqref="K182">
      <x:formula1>"Correctly omitted,Invented"</x:formula1>
    </x:dataValidation>
    <x:dataValidation type="list" sqref="L182">
      <x:formula1>"Not applicable"</x:formula1>
    </x:dataValidation>
    <x:dataValidation type="list" sqref="K183">
      <x:formula1>"Correctly omitted,Invented"</x:formula1>
    </x:dataValidation>
    <x:dataValidation type="list" sqref="L183">
      <x:formula1>"Not applicable"</x:formula1>
    </x:dataValidation>
    <x:dataValidation type="list" sqref="K184">
      <x:formula1>"Correct,Wrong,Missing"</x:formula1>
    </x:dataValidation>
    <x:dataValidation type="list" sqref="L184">
      <x:formula1>"Supported,Unsupported,Missing"</x:formula1>
    </x:dataValidation>
    <x:dataValidation type="list" sqref="K185">
      <x:formula1>"Correctly omitted,Invented"</x:formula1>
    </x:dataValidation>
    <x:dataValidation type="list" sqref="L185">
      <x:formula1>"Not applicable"</x:formula1>
    </x:dataValidation>
    <x:dataValidation type="list" sqref="K186">
      <x:formula1>"Correctly omitted,Invented"</x:formula1>
    </x:dataValidation>
    <x:dataValidation type="list" sqref="L186">
      <x:formula1>"Not applicable"</x:formula1>
    </x:dataValidation>
    <x:dataValidation type="list" sqref="K187">
      <x:formula1>"Correct,Wrong,Missing"</x:formula1>
    </x:dataValidation>
    <x:dataValidation type="list" sqref="L187">
      <x:formula1>"Supported,Unsupported,Missing"</x:formula1>
    </x:dataValidation>
    <x:dataValidation type="list" sqref="K188">
      <x:formula1>"Correct,Wrong,Missing"</x:formula1>
    </x:dataValidation>
    <x:dataValidation type="list" sqref="L188">
      <x:formula1>"Supported,Unsupported,Missing"</x:formula1>
    </x:dataValidation>
    <x:dataValidation type="list" sqref="K189">
      <x:formula1>"Correct,Wrong,Missing"</x:formula1>
    </x:dataValidation>
    <x:dataValidation type="list" sqref="L189">
      <x:formula1>"Supported,Unsupported,Missing"</x:formula1>
    </x:dataValidation>
    <x:dataValidation type="list" sqref="K190">
      <x:formula1>"Correctly omitted,Invented"</x:formula1>
    </x:dataValidation>
    <x:dataValidation type="list" sqref="L190">
      <x:formula1>"Not applicable"</x:formula1>
    </x:dataValidation>
    <x:dataValidation type="list" sqref="K191">
      <x:formula1>"Correct,Wrong,Missing"</x:formula1>
    </x:dataValidation>
    <x:dataValidation type="list" sqref="L191">
      <x:formula1>"Supported,Unsupported,Missing"</x:formula1>
    </x:dataValidation>
    <x:dataValidation type="list" sqref="K192">
      <x:formula1>"Correct,Wrong,Missing"</x:formula1>
    </x:dataValidation>
    <x:dataValidation type="list" sqref="L192">
      <x:formula1>"Supported,Unsupported,Missing"</x:formula1>
    </x:dataValidation>
    <x:dataValidation type="list" sqref="K193">
      <x:formula1>"Correct,Wrong,Missing"</x:formula1>
    </x:dataValidation>
    <x:dataValidation type="list" sqref="L193">
      <x:formula1>"Supported,Unsupported,Missing"</x:formula1>
    </x:dataValidation>
    <x:dataValidation type="list" sqref="K194">
      <x:formula1>"Correct,Wrong,Missing"</x:formula1>
    </x:dataValidation>
    <x:dataValidation type="list" sqref="L194">
      <x:formula1>"Supported,Unsupported,Missing"</x:formula1>
    </x:dataValidation>
    <x:dataValidation type="list" sqref="K195">
      <x:formula1>"Correct,Wrong,Missing"</x:formula1>
    </x:dataValidation>
    <x:dataValidation type="list" sqref="L195">
      <x:formula1>"Supported,Unsupported,Missing"</x:formula1>
    </x:dataValidation>
    <x:dataValidation type="list" sqref="K196">
      <x:formula1>"Correct,Wrong,Missing"</x:formula1>
    </x:dataValidation>
    <x:dataValidation type="list" sqref="L196">
      <x:formula1>"Supported,Unsupported,Missing"</x:formula1>
    </x:dataValidation>
    <x:dataValidation type="list" sqref="K197">
      <x:formula1>"Correctly omitted,Invented"</x:formula1>
    </x:dataValidation>
    <x:dataValidation type="list" sqref="L197">
      <x:formula1>"Not applicable"</x:formula1>
    </x:dataValidation>
    <x:dataValidation type="list" sqref="K198">
      <x:formula1>"Correctly omitted,Invented"</x:formula1>
    </x:dataValidation>
    <x:dataValidation type="list" sqref="L198">
      <x:formula1>"Not applicable"</x:formula1>
    </x:dataValidation>
    <x:dataValidation type="list" sqref="K199">
      <x:formula1>"Correctly omitted,Invented"</x:formula1>
    </x:dataValidation>
    <x:dataValidation type="list" sqref="L199">
      <x:formula1>"Not applicable"</x:formula1>
    </x:dataValidation>
    <x:dataValidation type="list" sqref="K200">
      <x:formula1>"Correctly omitted,Invented"</x:formula1>
    </x:dataValidation>
    <x:dataValidation type="list" sqref="L200">
      <x:formula1>"Not applicable"</x:formula1>
    </x:dataValidation>
    <x:dataValidation type="list" sqref="K201">
      <x:formula1>"Correct,Wrong,Missing"</x:formula1>
    </x:dataValidation>
    <x:dataValidation type="list" sqref="L201">
      <x:formula1>"Supported,Unsupported,Missing"</x:formula1>
    </x:dataValidation>
    <x:dataValidation type="list" sqref="K202">
      <x:formula1>"Correct,Wrong,Missing"</x:formula1>
    </x:dataValidation>
    <x:dataValidation type="list" sqref="L202">
      <x:formula1>"Supported,Unsupported,Missing"</x:formula1>
    </x:dataValidation>
    <x:dataValidation type="list" sqref="K203">
      <x:formula1>"Correct,Wrong,Missing"</x:formula1>
    </x:dataValidation>
    <x:dataValidation type="list" sqref="L203">
      <x:formula1>"Supported,Unsupported,Missing"</x:formula1>
    </x:dataValidation>
    <x:dataValidation type="list" sqref="K204">
      <x:formula1>"Correct,Wrong,Missing"</x:formula1>
    </x:dataValidation>
    <x:dataValidation type="list" sqref="L204">
      <x:formula1>"Supported,Unsupported,Missing"</x:formula1>
    </x:dataValidation>
    <x:dataValidation type="list" sqref="K205">
      <x:formula1>"Correct,Wrong,Missing"</x:formula1>
    </x:dataValidation>
    <x:dataValidation type="list" sqref="L205">
      <x:formula1>"Supported,Unsupported,Missing"</x:formula1>
    </x:dataValidation>
    <x:dataValidation type="list" sqref="K206">
      <x:formula1>"Correctly omitted,Invented"</x:formula1>
    </x:dataValidation>
    <x:dataValidation type="list" sqref="L206">
      <x:formula1>"Not applicable"</x:formula1>
    </x:dataValidation>
    <x:dataValidation type="list" sqref="K207">
      <x:formula1>"Correct,Wrong,Missing"</x:formula1>
    </x:dataValidation>
    <x:dataValidation type="list" sqref="L207">
      <x:formula1>"Supported,Unsupported,Missing"</x:formula1>
    </x:dataValidation>
    <x:dataValidation type="list" sqref="K208">
      <x:formula1>"Correct,Wrong,Missing"</x:formula1>
    </x:dataValidation>
    <x:dataValidation type="list" sqref="L208">
      <x:formula1>"Supported,Unsupported,Missing"</x:formula1>
    </x:dataValidation>
    <x:dataValidation type="list" sqref="K209">
      <x:formula1>"Correctly omitted,Invented"</x:formula1>
    </x:dataValidation>
    <x:dataValidation type="list" sqref="L209">
      <x:formula1>"Not applicable"</x:formula1>
    </x:dataValidation>
    <x:dataValidation type="list" sqref="K210">
      <x:formula1>"Correct,Wrong,Missing"</x:formula1>
    </x:dataValidation>
    <x:dataValidation type="list" sqref="L210">
      <x:formula1>"Supported,Unsupported,Missing"</x:formula1>
    </x:dataValidation>
    <x:dataValidation type="list" sqref="K211">
      <x:formula1>"Correctly omitted,Invented"</x:formula1>
    </x:dataValidation>
    <x:dataValidation type="list" sqref="L211">
      <x:formula1>"Not applicable"</x:formula1>
    </x:dataValidation>
    <x:dataValidation type="list" sqref="K212">
      <x:formula1>"Correct,Wrong,Missing"</x:formula1>
    </x:dataValidation>
    <x:dataValidation type="list" sqref="L212">
      <x:formula1>"Supported,Unsupported,Missing"</x:formula1>
    </x:dataValidation>
    <x:dataValidation type="list" sqref="K213">
      <x:formula1>"Correctly omitted,Invented"</x:formula1>
    </x:dataValidation>
    <x:dataValidation type="list" sqref="L213">
      <x:formula1>"Not applicable"</x:formula1>
    </x:dataValidation>
    <x:dataValidation type="list" sqref="K214">
      <x:formula1>"Correctly omitted,Invented"</x:formula1>
    </x:dataValidation>
    <x:dataValidation type="list" sqref="L214">
      <x:formula1>"Not applicable"</x:formula1>
    </x:dataValidation>
    <x:dataValidation type="list" sqref="K215">
      <x:formula1>"Correctly omitted,Invented"</x:formula1>
    </x:dataValidation>
    <x:dataValidation type="list" sqref="L215">
      <x:formula1>"Not applicable"</x:formula1>
    </x:dataValidation>
    <x:dataValidation type="list" sqref="K216">
      <x:formula1>"Correct,Wrong,Missing"</x:formula1>
    </x:dataValidation>
    <x:dataValidation type="list" sqref="L216">
      <x:formula1>"Supported,Unsupported,Missing"</x:formula1>
    </x:dataValidation>
    <x:dataValidation type="list" sqref="K217">
      <x:formula1>"Correctly omitted,Invented"</x:formula1>
    </x:dataValidation>
    <x:dataValidation type="list" sqref="L217">
      <x:formula1>"Not applicable"</x:formula1>
    </x:dataValidation>
    <x:dataValidation type="list" sqref="K218">
      <x:formula1>"Correctly omitted,Invented"</x:formula1>
    </x:dataValidation>
    <x:dataValidation type="list" sqref="L218">
      <x:formula1>"Not applicable"</x:formula1>
    </x:dataValidation>
    <x:dataValidation type="list" sqref="K219">
      <x:formula1>"Correct,Wrong,Missing"</x:formula1>
    </x:dataValidation>
    <x:dataValidation type="list" sqref="L219">
      <x:formula1>"Supported,Unsupported,Missing"</x:formula1>
    </x:dataValidation>
    <x:dataValidation type="list" sqref="K220">
      <x:formula1>"Correct,Wrong,Missing"</x:formula1>
    </x:dataValidation>
    <x:dataValidation type="list" sqref="L220">
      <x:formula1>"Supported,Unsupported,Missing"</x:formula1>
    </x:dataValidation>
    <x:dataValidation type="list" sqref="K221">
      <x:formula1>"Correct,Wrong,Missing"</x:formula1>
    </x:dataValidation>
    <x:dataValidation type="list" sqref="L221">
      <x:formula1>"Supported,Unsupported,Missing"</x:formula1>
    </x:dataValidation>
    <x:dataValidation type="list" sqref="K222">
      <x:formula1>"Correctly omitted,Invented"</x:formula1>
    </x:dataValidation>
    <x:dataValidation type="list" sqref="L222">
      <x:formula1>"Not applicable"</x:formula1>
    </x:dataValidation>
    <x:dataValidation type="list" sqref="K223">
      <x:formula1>"Correct,Wrong,Missing"</x:formula1>
    </x:dataValidation>
    <x:dataValidation type="list" sqref="L223">
      <x:formula1>"Supported,Unsupported,Missing"</x:formula1>
    </x:dataValidation>
    <x:dataValidation type="list" sqref="K224">
      <x:formula1>"Correct,Wrong,Missing"</x:formula1>
    </x:dataValidation>
    <x:dataValidation type="list" sqref="L224">
      <x:formula1>"Supported,Unsupported,Missing"</x:formula1>
    </x:dataValidation>
    <x:dataValidation type="list" sqref="K225">
      <x:formula1>"Correct,Wrong,Missing"</x:formula1>
    </x:dataValidation>
    <x:dataValidation type="list" sqref="L225">
      <x:formula1>"Supported,Unsupported,Missing"</x:formula1>
    </x:dataValidation>
    <x:dataValidation type="list" sqref="K226">
      <x:formula1>"Correct,Wrong,Missing"</x:formula1>
    </x:dataValidation>
    <x:dataValidation type="list" sqref="L226">
      <x:formula1>"Supported,Unsupported,Missing"</x:formula1>
    </x:dataValidation>
    <x:dataValidation type="list" sqref="K227">
      <x:formula1>"Correct,Wrong,Missing"</x:formula1>
    </x:dataValidation>
    <x:dataValidation type="list" sqref="L227">
      <x:formula1>"Supported,Unsupported,Missing"</x:formula1>
    </x:dataValidation>
    <x:dataValidation type="list" sqref="K228">
      <x:formula1>"Correct,Wrong,Missing"</x:formula1>
    </x:dataValidation>
    <x:dataValidation type="list" sqref="L228">
      <x:formula1>"Supported,Unsupported,Missing"</x:formula1>
    </x:dataValidation>
    <x:dataValidation type="list" sqref="K229">
      <x:formula1>"Correctly omitted,Invented"</x:formula1>
    </x:dataValidation>
    <x:dataValidation type="list" sqref="L229">
      <x:formula1>"Not applicable"</x:formula1>
    </x:dataValidation>
    <x:dataValidation type="list" sqref="K230">
      <x:formula1>"Correctly omitted,Invented"</x:formula1>
    </x:dataValidation>
    <x:dataValidation type="list" sqref="L230">
      <x:formula1>"Not applicable"</x:formula1>
    </x:dataValidation>
    <x:dataValidation type="list" sqref="K231">
      <x:formula1>"Correctly omitted,Invented"</x:formula1>
    </x:dataValidation>
    <x:dataValidation type="list" sqref="L231">
      <x:formula1>"Not applicable"</x:formula1>
    </x:dataValidation>
    <x:dataValidation type="list" sqref="K232">
      <x:formula1>"Correctly omitted,Invented"</x:formula1>
    </x:dataValidation>
    <x:dataValidation type="list" sqref="L232">
      <x:formula1>"Not applicable"</x:formula1>
    </x:dataValidation>
    <x:dataValidation type="list" sqref="K233">
      <x:formula1>"Correct,Wrong,Missing"</x:formula1>
    </x:dataValidation>
    <x:dataValidation type="list" sqref="L233">
      <x:formula1>"Supported,Unsupported,Missing"</x:formula1>
    </x:dataValidation>
    <x:dataValidation type="list" sqref="K234">
      <x:formula1>"Correctly omitted,Invented"</x:formula1>
    </x:dataValidation>
    <x:dataValidation type="list" sqref="L234">
      <x:formula1>"Not applicable"</x:formula1>
    </x:dataValidation>
    <x:dataValidation type="list" sqref="K235">
      <x:formula1>"Correct,Wrong,Missing"</x:formula1>
    </x:dataValidation>
    <x:dataValidation type="list" sqref="L235">
      <x:formula1>"Supported,Unsupported,Missing"</x:formula1>
    </x:dataValidation>
    <x:dataValidation type="list" sqref="K236">
      <x:formula1>"Correct,Wrong,Missing"</x:formula1>
    </x:dataValidation>
    <x:dataValidation type="list" sqref="L236">
      <x:formula1>"Supported,Unsupported,Missing"</x:formula1>
    </x:dataValidation>
    <x:dataValidation type="list" sqref="K237">
      <x:formula1>"Correct,Wrong,Missing"</x:formula1>
    </x:dataValidation>
    <x:dataValidation type="list" sqref="L237">
      <x:formula1>"Supported,Unsupported,Missing"</x:formula1>
    </x:dataValidation>
    <x:dataValidation type="list" sqref="K238">
      <x:formula1>"Correctly omitted,Invented"</x:formula1>
    </x:dataValidation>
    <x:dataValidation type="list" sqref="L238">
      <x:formula1>"Not applicable"</x:formula1>
    </x:dataValidation>
    <x:dataValidation type="list" sqref="K239">
      <x:formula1>"Correct,Wrong,Missing"</x:formula1>
    </x:dataValidation>
    <x:dataValidation type="list" sqref="L239">
      <x:formula1>"Supported,Unsupported,Missing"</x:formula1>
    </x:dataValidation>
    <x:dataValidation type="list" sqref="K240">
      <x:formula1>"Correct,Wrong,Missing"</x:formula1>
    </x:dataValidation>
    <x:dataValidation type="list" sqref="L240">
      <x:formula1>"Supported,Unsupported,Missing"</x:formula1>
    </x:dataValidation>
    <x:dataValidation type="list" sqref="K241">
      <x:formula1>"Correctly omitted,Invented"</x:formula1>
    </x:dataValidation>
    <x:dataValidation type="list" sqref="L241">
      <x:formula1>"Not applicable"</x:formula1>
    </x:dataValidation>
    <x:dataValidation type="list" sqref="K242">
      <x:formula1>"Correct,Wrong,Missing"</x:formula1>
    </x:dataValidation>
    <x:dataValidation type="list" sqref="L242">
      <x:formula1>"Supported,Unsupported,Missing"</x:formula1>
    </x:dataValidation>
    <x:dataValidation type="list" sqref="K243">
      <x:formula1>"Correct,Wrong,Missing"</x:formula1>
    </x:dataValidation>
    <x:dataValidation type="list" sqref="L243">
      <x:formula1>"Supported,Unsupported,Missing"</x:formula1>
    </x:dataValidation>
    <x:dataValidation type="list" sqref="K244">
      <x:formula1>"Correct,Wrong,Missing"</x:formula1>
    </x:dataValidation>
    <x:dataValidation type="list" sqref="L244">
      <x:formula1>"Supported,Unsupported,Missing"</x:formula1>
    </x:dataValidation>
    <x:dataValidation type="list" sqref="K245">
      <x:formula1>"Correctly omitted,Invented"</x:formula1>
    </x:dataValidation>
    <x:dataValidation type="list" sqref="L245">
      <x:formula1>"Not applicable"</x:formula1>
    </x:dataValidation>
    <x:dataValidation type="list" sqref="K246">
      <x:formula1>"Correctly omitted,Invented"</x:formula1>
    </x:dataValidation>
    <x:dataValidation type="list" sqref="L246">
      <x:formula1>"Not applicable"</x:formula1>
    </x:dataValidation>
    <x:dataValidation type="list" sqref="K247">
      <x:formula1>"Correctly omitted,Invented"</x:formula1>
    </x:dataValidation>
    <x:dataValidation type="list" sqref="L247">
      <x:formula1>"Not applicable"</x:formula1>
    </x:dataValidation>
    <x:dataValidation type="list" sqref="K248">
      <x:formula1>"Correctly omitted,Invented"</x:formula1>
    </x:dataValidation>
    <x:dataValidation type="list" sqref="L248">
      <x:formula1>"Not applicable"</x:formula1>
    </x:dataValidation>
    <x:dataValidation type="list" sqref="K249">
      <x:formula1>"Correctly omitted,Invented"</x:formula1>
    </x:dataValidation>
    <x:dataValidation type="list" sqref="L249">
      <x:formula1>"Not applicable"</x:formula1>
    </x:dataValidation>
    <x:dataValidation type="list" sqref="K250">
      <x:formula1>"Correctly omitted,Invented"</x:formula1>
    </x:dataValidation>
    <x:dataValidation type="list" sqref="L250">
      <x:formula1>"Not applicable"</x:formula1>
    </x:dataValidation>
    <x:dataValidation type="list" sqref="K251">
      <x:formula1>"Correct,Wrong,Missing"</x:formula1>
    </x:dataValidation>
    <x:dataValidation type="list" sqref="L251">
      <x:formula1>"Supported,Unsupported,Missing"</x:formula1>
    </x:dataValidation>
    <x:dataValidation type="list" sqref="K252">
      <x:formula1>"Correct,Wrong,Missing"</x:formula1>
    </x:dataValidation>
    <x:dataValidation type="list" sqref="L252">
      <x:formula1>"Supported,Unsupported,Missing"</x:formula1>
    </x:dataValidation>
    <x:dataValidation type="list" sqref="K253">
      <x:formula1>"Correct,Wrong,Missing"</x:formula1>
    </x:dataValidation>
    <x:dataValidation type="list" sqref="L253">
      <x:formula1>"Supported,Unsupported,Missing"</x:formula1>
    </x:dataValidation>
    <x:dataValidation type="list" sqref="K254">
      <x:formula1>"Correctly omitted,Invented"</x:formula1>
    </x:dataValidation>
    <x:dataValidation type="list" sqref="L254">
      <x:formula1>"Not applicable"</x:formula1>
    </x:dataValidation>
    <x:dataValidation type="list" sqref="K255">
      <x:formula1>"Correct,Wrong,Missing"</x:formula1>
    </x:dataValidation>
    <x:dataValidation type="list" sqref="L255">
      <x:formula1>"Supported,Unsupported,Missing"</x:formula1>
    </x:dataValidation>
    <x:dataValidation type="list" sqref="K256">
      <x:formula1>"Correct,Wrong,Missing"</x:formula1>
    </x:dataValidation>
    <x:dataValidation type="list" sqref="L256">
      <x:formula1>"Supported,Unsupported,Missing"</x:formula1>
    </x:dataValidation>
    <x:dataValidation type="list" sqref="K257">
      <x:formula1>"Correct,Wrong,Missing"</x:formula1>
    </x:dataValidation>
    <x:dataValidation type="list" sqref="L257">
      <x:formula1>"Supported,Unsupported,Missing"</x:formula1>
    </x:dataValidation>
    <x:dataValidation type="list" sqref="K258">
      <x:formula1>"Correct,Wrong,Missing"</x:formula1>
    </x:dataValidation>
    <x:dataValidation type="list" sqref="L258">
      <x:formula1>"Supported,Unsupported,Missing"</x:formula1>
    </x:dataValidation>
    <x:dataValidation type="list" sqref="K259">
      <x:formula1>"Correct,Wrong,Missing"</x:formula1>
    </x:dataValidation>
    <x:dataValidation type="list" sqref="L259">
      <x:formula1>"Supported,Unsupported,Missing"</x:formula1>
    </x:dataValidation>
    <x:dataValidation type="list" sqref="K260">
      <x:formula1>"Correct,Wrong,Missing"</x:formula1>
    </x:dataValidation>
    <x:dataValidation type="list" sqref="L260">
      <x:formula1>"Supported,Unsupported,Missing"</x:formula1>
    </x:dataValidation>
    <x:dataValidation type="list" sqref="K261">
      <x:formula1>"Correctly omitted,Invented"</x:formula1>
    </x:dataValidation>
    <x:dataValidation type="list" sqref="L261">
      <x:formula1>"Not applicable"</x:formula1>
    </x:dataValidation>
    <x:dataValidation type="list" sqref="K262">
      <x:formula1>"Correctly omitted,Invented"</x:formula1>
    </x:dataValidation>
    <x:dataValidation type="list" sqref="L262">
      <x:formula1>"Not applicable"</x:formula1>
    </x:dataValidation>
    <x:dataValidation type="list" sqref="K263">
      <x:formula1>"Correctly omitted,Invented"</x:formula1>
    </x:dataValidation>
    <x:dataValidation type="list" sqref="L263">
      <x:formula1>"Not applicable"</x:formula1>
    </x:dataValidation>
    <x:dataValidation type="list" sqref="K264">
      <x:formula1>"Correctly omitted,Invented"</x:formula1>
    </x:dataValidation>
    <x:dataValidation type="list" sqref="L264">
      <x:formula1>"Not applicable"</x:formula1>
    </x:dataValidation>
    <x:dataValidation type="list" sqref="K265">
      <x:formula1>"Correct,Wrong,Missing"</x:formula1>
    </x:dataValidation>
    <x:dataValidation type="list" sqref="L265">
      <x:formula1>"Supported,Unsupported,Missing"</x:formula1>
    </x:dataValidation>
    <x:dataValidation type="list" sqref="K266">
      <x:formula1>"Correct,Wrong,Missing"</x:formula1>
    </x:dataValidation>
    <x:dataValidation type="list" sqref="L266">
      <x:formula1>"Supported,Unsupported,Missing"</x:formula1>
    </x:dataValidation>
    <x:dataValidation type="list" sqref="K267">
      <x:formula1>"Correct,Wrong,Missing"</x:formula1>
    </x:dataValidation>
    <x:dataValidation type="list" sqref="L267">
      <x:formula1>"Supported,Unsupported,Missing"</x:formula1>
    </x:dataValidation>
    <x:dataValidation type="list" sqref="K268">
      <x:formula1>"Correct,Wrong,Missing"</x:formula1>
    </x:dataValidation>
    <x:dataValidation type="list" sqref="L268">
      <x:formula1>"Supported,Unsupported,Missing"</x:formula1>
    </x:dataValidation>
    <x:dataValidation type="list" sqref="K269">
      <x:formula1>"Correct,Wrong,Missing"</x:formula1>
    </x:dataValidation>
    <x:dataValidation type="list" sqref="L269">
      <x:formula1>"Supported,Unsupported,Missing"</x:formula1>
    </x:dataValidation>
    <x:dataValidation type="list" sqref="K270">
      <x:formula1>"Correctly omitted,Invented"</x:formula1>
    </x:dataValidation>
    <x:dataValidation type="list" sqref="L270">
      <x:formula1>"Not applicable"</x:formula1>
    </x:dataValidation>
    <x:dataValidation type="list" sqref="K271">
      <x:formula1>"Correct,Wrong,Missing"</x:formula1>
    </x:dataValidation>
    <x:dataValidation type="list" sqref="L271">
      <x:formula1>"Supported,Unsupported,Missing"</x:formula1>
    </x:dataValidation>
    <x:dataValidation type="list" sqref="K272">
      <x:formula1>"Correct,Wrong,Missing"</x:formula1>
    </x:dataValidation>
    <x:dataValidation type="list" sqref="L272">
      <x:formula1>"Supported,Unsupported,Missing"</x:formula1>
    </x:dataValidation>
    <x:dataValidation type="list" sqref="K273">
      <x:formula1>"Correctly omitted,Invented"</x:formula1>
    </x:dataValidation>
    <x:dataValidation type="list" sqref="L273">
      <x:formula1>"Not applicable"</x:formula1>
    </x:dataValidation>
    <x:dataValidation type="list" sqref="K274">
      <x:formula1>"Correct,Wrong,Missing"</x:formula1>
    </x:dataValidation>
    <x:dataValidation type="list" sqref="L274">
      <x:formula1>"Supported,Unsupported,Missing"</x:formula1>
    </x:dataValidation>
    <x:dataValidation type="list" sqref="K275">
      <x:formula1>"Correct,Wrong,Missing"</x:formula1>
    </x:dataValidation>
    <x:dataValidation type="list" sqref="L275">
      <x:formula1>"Supported,Unsupported,Missing"</x:formula1>
    </x:dataValidation>
    <x:dataValidation type="list" sqref="K276">
      <x:formula1>"Correct,Wrong,Missing"</x:formula1>
    </x:dataValidation>
    <x:dataValidation type="list" sqref="L276">
      <x:formula1>"Supported,Unsupported,Missing"</x:formula1>
    </x:dataValidation>
    <x:dataValidation type="list" sqref="K277">
      <x:formula1>"Correctly omitted,Invented"</x:formula1>
    </x:dataValidation>
    <x:dataValidation type="list" sqref="L277">
      <x:formula1>"Not applicable"</x:formula1>
    </x:dataValidation>
    <x:dataValidation type="list" sqref="K278">
      <x:formula1>"Correctly omitted,Invented"</x:formula1>
    </x:dataValidation>
    <x:dataValidation type="list" sqref="L278">
      <x:formula1>"Not applicable"</x:formula1>
    </x:dataValidation>
    <x:dataValidation type="list" sqref="K279">
      <x:formula1>"Correctly omitted,Invented"</x:formula1>
    </x:dataValidation>
    <x:dataValidation type="list" sqref="L279">
      <x:formula1>"Not applicable"</x:formula1>
    </x:dataValidation>
    <x:dataValidation type="list" sqref="K280">
      <x:formula1>"Correctly omitted,Invented"</x:formula1>
    </x:dataValidation>
    <x:dataValidation type="list" sqref="L280">
      <x:formula1>"Not applicable"</x:formula1>
    </x:dataValidation>
    <x:dataValidation type="list" sqref="K281">
      <x:formula1>"Correct,Wrong,Missing"</x:formula1>
    </x:dataValidation>
    <x:dataValidation type="list" sqref="L281">
      <x:formula1>"Supported,Unsupported,Missing"</x:formula1>
    </x:dataValidation>
    <x:dataValidation type="list" sqref="K282">
      <x:formula1>"Correct,Wrong,Missing"</x:formula1>
    </x:dataValidation>
    <x:dataValidation type="list" sqref="L282">
      <x:formula1>"Supported,Unsupported,Missing"</x:formula1>
    </x:dataValidation>
    <x:dataValidation type="list" sqref="K283">
      <x:formula1>"Correct,Wrong,Missing"</x:formula1>
    </x:dataValidation>
    <x:dataValidation type="list" sqref="L283">
      <x:formula1>"Supported,Unsupported,Missing"</x:formula1>
    </x:dataValidation>
    <x:dataValidation type="list" sqref="K284">
      <x:formula1>"Correct,Wrong,Missing"</x:formula1>
    </x:dataValidation>
    <x:dataValidation type="list" sqref="L284">
      <x:formula1>"Supported,Unsupported,Missing"</x:formula1>
    </x:dataValidation>
    <x:dataValidation type="list" sqref="K285">
      <x:formula1>"Correct,Wrong,Missing"</x:formula1>
    </x:dataValidation>
    <x:dataValidation type="list" sqref="L285">
      <x:formula1>"Supported,Unsupported,Missing"</x:formula1>
    </x:dataValidation>
    <x:dataValidation type="list" sqref="K286">
      <x:formula1>"Correctly omitted,Invented"</x:formula1>
    </x:dataValidation>
    <x:dataValidation type="list" sqref="L286">
      <x:formula1>"Not applicable"</x:formula1>
    </x:dataValidation>
    <x:dataValidation type="list" sqref="K287">
      <x:formula1>"Correct,Wrong,Missing"</x:formula1>
    </x:dataValidation>
    <x:dataValidation type="list" sqref="L287">
      <x:formula1>"Supported,Unsupported,Missing"</x:formula1>
    </x:dataValidation>
    <x:dataValidation type="list" sqref="K288">
      <x:formula1>"Correct,Wrong,Missing"</x:formula1>
    </x:dataValidation>
    <x:dataValidation type="list" sqref="L288">
      <x:formula1>"Supported,Unsupported,Missing"</x:formula1>
    </x:dataValidation>
    <x:dataValidation type="list" sqref="K289">
      <x:formula1>"Correctly omitted,Invented"</x:formula1>
    </x:dataValidation>
    <x:dataValidation type="list" sqref="L289">
      <x:formula1>"Not applicable"</x:formula1>
    </x:dataValidation>
    <x:dataValidation type="list" sqref="K290">
      <x:formula1>"Correct,Wrong,Missing"</x:formula1>
    </x:dataValidation>
    <x:dataValidation type="list" sqref="L290">
      <x:formula1>"Supported,Unsupported,Missing"</x:formula1>
    </x:dataValidation>
    <x:dataValidation type="list" sqref="K291">
      <x:formula1>"Correct,Wrong,Missing"</x:formula1>
    </x:dataValidation>
    <x:dataValidation type="list" sqref="L291">
      <x:formula1>"Supported,Unsupported,Missing"</x:formula1>
    </x:dataValidation>
    <x:dataValidation type="list" sqref="K292">
      <x:formula1>"Correct,Wrong,Missing"</x:formula1>
    </x:dataValidation>
    <x:dataValidation type="list" sqref="L292">
      <x:formula1>"Supported,Unsupported,Missing"</x:formula1>
    </x:dataValidation>
    <x:dataValidation type="list" sqref="K293">
      <x:formula1>"Correctly omitted,Invented"</x:formula1>
    </x:dataValidation>
    <x:dataValidation type="list" sqref="L293">
      <x:formula1>"Not applicable"</x:formula1>
    </x:dataValidation>
    <x:dataValidation type="list" sqref="K294">
      <x:formula1>"Correctly omitted,Invented"</x:formula1>
    </x:dataValidation>
    <x:dataValidation type="list" sqref="L294">
      <x:formula1>"Not applicable"</x:formula1>
    </x:dataValidation>
    <x:dataValidation type="list" sqref="K295">
      <x:formula1>"Correctly omitted,Invented"</x:formula1>
    </x:dataValidation>
    <x:dataValidation type="list" sqref="L295">
      <x:formula1>"Not applicable"</x:formula1>
    </x:dataValidation>
    <x:dataValidation type="list" sqref="K296">
      <x:formula1>"Correct,Wrong,Missing"</x:formula1>
    </x:dataValidation>
    <x:dataValidation type="list" sqref="L296">
      <x:formula1>"Supported,Unsupported,Missing"</x:formula1>
    </x:dataValidation>
    <x:dataValidation type="list" sqref="K297">
      <x:formula1>"Correctly omitted,Invented"</x:formula1>
    </x:dataValidation>
    <x:dataValidation type="list" sqref="L297">
      <x:formula1>"Not applicable"</x:formula1>
    </x:dataValidation>
    <x:dataValidation type="list" sqref="K298">
      <x:formula1>"Correctly omitted,Invented"</x:formula1>
    </x:dataValidation>
    <x:dataValidation type="list" sqref="L298">
      <x:formula1>"Not applicable"</x:formula1>
    </x:dataValidation>
    <x:dataValidation type="list" sqref="K299">
      <x:formula1>"Correct,Wrong,Missing"</x:formula1>
    </x:dataValidation>
    <x:dataValidation type="list" sqref="L299">
      <x:formula1>"Supported,Unsupported,Missing"</x:formula1>
    </x:dataValidation>
    <x:dataValidation type="list" sqref="K300">
      <x:formula1>"Correct,Wrong,Missing"</x:formula1>
    </x:dataValidation>
    <x:dataValidation type="list" sqref="L300">
      <x:formula1>"Supported,Unsupported,Missing"</x:formula1>
    </x:dataValidation>
    <x:dataValidation type="list" sqref="K301">
      <x:formula1>"Correct,Wrong,Missing"</x:formula1>
    </x:dataValidation>
    <x:dataValidation type="list" sqref="L301">
      <x:formula1>"Supported,Unsupported,Missing"</x:formula1>
    </x:dataValidation>
    <x:dataValidation type="list" sqref="K302">
      <x:formula1>"Correctly omitted,Invented"</x:formula1>
    </x:dataValidation>
    <x:dataValidation type="list" sqref="L302">
      <x:formula1>"Not applicable"</x:formula1>
    </x:dataValidation>
    <x:dataValidation type="list" sqref="K303">
      <x:formula1>"Correct,Wrong,Missing"</x:formula1>
    </x:dataValidation>
    <x:dataValidation type="list" sqref="L303">
      <x:formula1>"Supported,Unsupported,Missing"</x:formula1>
    </x:dataValidation>
    <x:dataValidation type="list" sqref="K304">
      <x:formula1>"Correct,Wrong,Missing"</x:formula1>
    </x:dataValidation>
    <x:dataValidation type="list" sqref="L304">
      <x:formula1>"Supported,Unsupported,Missing"</x:formula1>
    </x:dataValidation>
    <x:dataValidation type="list" sqref="K305">
      <x:formula1>"Correct,Wrong,Missing"</x:formula1>
    </x:dataValidation>
    <x:dataValidation type="list" sqref="L305">
      <x:formula1>"Supported,Unsupported,Missing"</x:formula1>
    </x:dataValidation>
    <x:dataValidation type="list" sqref="K306">
      <x:formula1>"Correct,Wrong,Missing"</x:formula1>
    </x:dataValidation>
    <x:dataValidation type="list" sqref="L306">
      <x:formula1>"Supported,Unsupported,Missing"</x:formula1>
    </x:dataValidation>
    <x:dataValidation type="list" sqref="K307">
      <x:formula1>"Correct,Wrong,Missing"</x:formula1>
    </x:dataValidation>
    <x:dataValidation type="list" sqref="L307">
      <x:formula1>"Supported,Unsupported,Missing"</x:formula1>
    </x:dataValidation>
    <x:dataValidation type="list" sqref="K308">
      <x:formula1>"Correct,Wrong,Missing"</x:formula1>
    </x:dataValidation>
    <x:dataValidation type="list" sqref="L308">
      <x:formula1>"Supported,Unsupported,Missing"</x:formula1>
    </x:dataValidation>
    <x:dataValidation type="list" sqref="K309">
      <x:formula1>"Correctly omitted,Invented"</x:formula1>
    </x:dataValidation>
    <x:dataValidation type="list" sqref="L309">
      <x:formula1>"Not applicable"</x:formula1>
    </x:dataValidation>
    <x:dataValidation type="list" sqref="K310">
      <x:formula1>"Correctly omitted,Invented"</x:formula1>
    </x:dataValidation>
    <x:dataValidation type="list" sqref="L310">
      <x:formula1>"Not applicable"</x:formula1>
    </x:dataValidation>
    <x:dataValidation type="list" sqref="K311">
      <x:formula1>"Correctly omitted,Invented"</x:formula1>
    </x:dataValidation>
    <x:dataValidation type="list" sqref="L311">
      <x:formula1>"Not applicable"</x:formula1>
    </x:dataValidation>
    <x:dataValidation type="list" sqref="K312">
      <x:formula1>"Correctly omitted,Invented"</x:formula1>
    </x:dataValidation>
    <x:dataValidation type="list" sqref="L312">
      <x:formula1>"Not applicable"</x:formula1>
    </x:dataValidation>
    <x:dataValidation type="list" sqref="K313">
      <x:formula1>"Correct,Wrong,Missing"</x:formula1>
    </x:dataValidation>
    <x:dataValidation type="list" sqref="L313">
      <x:formula1>"Supported,Unsupported,Missing"</x:formula1>
    </x:dataValidation>
    <x:dataValidation type="list" sqref="K314">
      <x:formula1>"Correct,Wrong,Missing"</x:formula1>
    </x:dataValidation>
    <x:dataValidation type="list" sqref="L314">
      <x:formula1>"Supported,Unsupported,Missing"</x:formula1>
    </x:dataValidation>
    <x:dataValidation type="list" sqref="K315">
      <x:formula1>"Correct,Wrong,Missing"</x:formula1>
    </x:dataValidation>
    <x:dataValidation type="list" sqref="L315">
      <x:formula1>"Supported,Unsupported,Missing"</x:formula1>
    </x:dataValidation>
    <x:dataValidation type="list" sqref="K316">
      <x:formula1>"Correct,Wrong,Missing"</x:formula1>
    </x:dataValidation>
    <x:dataValidation type="list" sqref="L316">
      <x:formula1>"Supported,Unsupported,Missing"</x:formula1>
    </x:dataValidation>
    <x:dataValidation type="list" sqref="K317">
      <x:formula1>"Correct,Wrong,Missing"</x:formula1>
    </x:dataValidation>
    <x:dataValidation type="list" sqref="L317">
      <x:formula1>"Supported,Unsupported,Missing"</x:formula1>
    </x:dataValidation>
    <x:dataValidation type="list" sqref="K318">
      <x:formula1>"Correctly omitted,Invented"</x:formula1>
    </x:dataValidation>
    <x:dataValidation type="list" sqref="L318">
      <x:formula1>"Not applicable"</x:formula1>
    </x:dataValidation>
    <x:dataValidation type="list" sqref="K319">
      <x:formula1>"Correct,Wrong,Missing"</x:formula1>
    </x:dataValidation>
    <x:dataValidation type="list" sqref="L319">
      <x:formula1>"Supported,Unsupported,Missing"</x:formula1>
    </x:dataValidation>
    <x:dataValidation type="list" sqref="K320">
      <x:formula1>"Correct,Wrong,Missing"</x:formula1>
    </x:dataValidation>
    <x:dataValidation type="list" sqref="L320">
      <x:formula1>"Supported,Unsupported,Missing"</x:formula1>
    </x:dataValidation>
    <x:dataValidation type="list" sqref="K321">
      <x:formula1>"Correctly omitted,Invented"</x:formula1>
    </x:dataValidation>
    <x:dataValidation type="list" sqref="L321">
      <x:formula1>"Not applicable"</x:formula1>
    </x:dataValidation>
    <x:dataValidation type="list" sqref="K322">
      <x:formula1>"Correct,Wrong,Missing"</x:formula1>
    </x:dataValidation>
    <x:dataValidation type="list" sqref="L322">
      <x:formula1>"Supported,Unsupported,Missing"</x:formula1>
    </x:dataValidation>
    <x:dataValidation type="list" sqref="K323">
      <x:formula1>"Correct,Wrong,Missing"</x:formula1>
    </x:dataValidation>
    <x:dataValidation type="list" sqref="L323">
      <x:formula1>"Supported,Unsupported,Missing"</x:formula1>
    </x:dataValidation>
    <x:dataValidation type="list" sqref="K324">
      <x:formula1>"Correct,Wrong,Missing"</x:formula1>
    </x:dataValidation>
    <x:dataValidation type="list" sqref="L324">
      <x:formula1>"Supported,Unsupported,Missing"</x:formula1>
    </x:dataValidation>
    <x:dataValidation type="list" sqref="K325">
      <x:formula1>"Correctly omitted,Invented"</x:formula1>
    </x:dataValidation>
    <x:dataValidation type="list" sqref="L325">
      <x:formula1>"Not applicable"</x:formula1>
    </x:dataValidation>
    <x:dataValidation type="list" sqref="K326">
      <x:formula1>"Correctly omitted,Invented"</x:formula1>
    </x:dataValidation>
    <x:dataValidation type="list" sqref="L326">
      <x:formula1>"Not applicable"</x:formula1>
    </x:dataValidation>
    <x:dataValidation type="list" sqref="K327">
      <x:formula1>"Correctly omitted,Invented"</x:formula1>
    </x:dataValidation>
    <x:dataValidation type="list" sqref="L327">
      <x:formula1>"Not applicable"</x:formula1>
    </x:dataValidation>
    <x:dataValidation type="list" sqref="K328">
      <x:formula1>"Correct,Wrong,Missing"</x:formula1>
    </x:dataValidation>
    <x:dataValidation type="list" sqref="L328">
      <x:formula1>"Supported,Unsupported,Missing"</x:formula1>
    </x:dataValidation>
    <x:dataValidation type="list" sqref="K329">
      <x:formula1>"Correctly omitted,Invented"</x:formula1>
    </x:dataValidation>
    <x:dataValidation type="list" sqref="L329">
      <x:formula1>"Not applicable"</x:formula1>
    </x:dataValidation>
    <x:dataValidation type="list" sqref="K330">
      <x:formula1>"Correctly omitted,Invented"</x:formula1>
    </x:dataValidation>
    <x:dataValidation type="list" sqref="L330">
      <x:formula1>"Not applicable"</x:formula1>
    </x:dataValidation>
    <x:dataValidation type="list" sqref="K331">
      <x:formula1>"Correct,Wrong,Missing"</x:formula1>
    </x:dataValidation>
    <x:dataValidation type="list" sqref="L331">
      <x:formula1>"Supported,Unsupported,Missing"</x:formula1>
    </x:dataValidation>
    <x:dataValidation type="list" sqref="K332">
      <x:formula1>"Correct,Wrong,Missing"</x:formula1>
    </x:dataValidation>
    <x:dataValidation type="list" sqref="L332">
      <x:formula1>"Supported,Unsupported,Missing"</x:formula1>
    </x:dataValidation>
    <x:dataValidation type="list" sqref="K333">
      <x:formula1>"Correct,Wrong,Missing"</x:formula1>
    </x:dataValidation>
    <x:dataValidation type="list" sqref="L333">
      <x:formula1>"Supported,Unsupported,Missing"</x:formula1>
    </x:dataValidation>
    <x:dataValidation type="list" sqref="K334">
      <x:formula1>"Correctly omitted,Invented"</x:formula1>
    </x:dataValidation>
    <x:dataValidation type="list" sqref="L334">
      <x:formula1>"Not applicable"</x:formula1>
    </x:dataValidation>
    <x:dataValidation type="list" sqref="K335">
      <x:formula1>"Correct,Wrong,Missing"</x:formula1>
    </x:dataValidation>
    <x:dataValidation type="list" sqref="L335">
      <x:formula1>"Supported,Unsupported,Missing"</x:formula1>
    </x:dataValidation>
    <x:dataValidation type="list" sqref="K336">
      <x:formula1>"Correct,Wrong,Missing"</x:formula1>
    </x:dataValidation>
    <x:dataValidation type="list" sqref="L336">
      <x:formula1>"Supported,Unsupported,Missing"</x:formula1>
    </x:dataValidation>
    <x:dataValidation type="list" sqref="K337">
      <x:formula1>"Correct,Wrong,Missing"</x:formula1>
    </x:dataValidation>
    <x:dataValidation type="list" sqref="L337">
      <x:formula1>"Supported,Unsupported,Missing"</x:formula1>
    </x:dataValidation>
    <x:dataValidation type="list" sqref="K338">
      <x:formula1>"Correct,Wrong,Missing"</x:formula1>
    </x:dataValidation>
    <x:dataValidation type="list" sqref="L338">
      <x:formula1>"Supported,Unsupported,Missing"</x:formula1>
    </x:dataValidation>
    <x:dataValidation type="list" sqref="K339">
      <x:formula1>"Correct,Wrong,Missing"</x:formula1>
    </x:dataValidation>
    <x:dataValidation type="list" sqref="L339">
      <x:formula1>"Supported,Unsupported,Missing"</x:formula1>
    </x:dataValidation>
    <x:dataValidation type="list" sqref="K340">
      <x:formula1>"Correct,Wrong,Missing"</x:formula1>
    </x:dataValidation>
    <x:dataValidation type="list" sqref="L340">
      <x:formula1>"Supported,Unsupported,Missing"</x:formula1>
    </x:dataValidation>
    <x:dataValidation type="list" sqref="K341">
      <x:formula1>"Correctly omitted,Invented"</x:formula1>
    </x:dataValidation>
    <x:dataValidation type="list" sqref="L341">
      <x:formula1>"Not applicable"</x:formula1>
    </x:dataValidation>
    <x:dataValidation type="list" sqref="K342">
      <x:formula1>"Correctly omitted,Invented"</x:formula1>
    </x:dataValidation>
    <x:dataValidation type="list" sqref="L342">
      <x:formula1>"Not applicable"</x:formula1>
    </x:dataValidation>
    <x:dataValidation type="list" sqref="K343">
      <x:formula1>"Correctly omitted,Invented"</x:formula1>
    </x:dataValidation>
    <x:dataValidation type="list" sqref="L343">
      <x:formula1>"Not applicable"</x:formula1>
    </x:dataValidation>
    <x:dataValidation type="list" sqref="K344">
      <x:formula1>"Correctly omitted,Invented"</x:formula1>
    </x:dataValidation>
    <x:dataValidation type="list" sqref="L344">
      <x:formula1>"Not applicable"</x:formula1>
    </x:dataValidation>
    <x:dataValidation type="list" sqref="K345">
      <x:formula1>"Correct,Wrong,Missing"</x:formula1>
    </x:dataValidation>
    <x:dataValidation type="list" sqref="L345">
      <x:formula1>"Supported,Unsupported,Missing"</x:formula1>
    </x:dataValidation>
    <x:dataValidation type="list" sqref="K346">
      <x:formula1>"Correct,Wrong,Missing"</x:formula1>
    </x:dataValidation>
    <x:dataValidation type="list" sqref="L346">
      <x:formula1>"Supported,Unsupported,Missing"</x:formula1>
    </x:dataValidation>
    <x:dataValidation type="list" sqref="K347">
      <x:formula1>"Correct,Wrong,Missing"</x:formula1>
    </x:dataValidation>
    <x:dataValidation type="list" sqref="L347">
      <x:formula1>"Supported,Unsupported,Missing"</x:formula1>
    </x:dataValidation>
    <x:dataValidation type="list" sqref="K348">
      <x:formula1>"Correct,Wrong,Missing"</x:formula1>
    </x:dataValidation>
    <x:dataValidation type="list" sqref="L348">
      <x:formula1>"Supported,Unsupported,Missing"</x:formula1>
    </x:dataValidation>
    <x:dataValidation type="list" sqref="K349">
      <x:formula1>"Correct,Wrong,Missing"</x:formula1>
    </x:dataValidation>
    <x:dataValidation type="list" sqref="L349">
      <x:formula1>"Supported,Unsupported,Missing"</x:formula1>
    </x:dataValidation>
    <x:dataValidation type="list" sqref="K350">
      <x:formula1>"Correctly omitted,Invented"</x:formula1>
    </x:dataValidation>
    <x:dataValidation type="list" sqref="L350">
      <x:formula1>"Not applicable"</x:formula1>
    </x:dataValidation>
    <x:dataValidation type="list" sqref="K351">
      <x:formula1>"Correct,Wrong,Missing"</x:formula1>
    </x:dataValidation>
    <x:dataValidation type="list" sqref="L351">
      <x:formula1>"Supported,Unsupported,Missing"</x:formula1>
    </x:dataValidation>
    <x:dataValidation type="list" sqref="K352">
      <x:formula1>"Correct,Wrong,Missing"</x:formula1>
    </x:dataValidation>
    <x:dataValidation type="list" sqref="L352">
      <x:formula1>"Supported,Unsupported,Missing"</x:formula1>
    </x:dataValidation>
    <x:dataValidation type="list" sqref="K353">
      <x:formula1>"Correctly omitted,Invented"</x:formula1>
    </x:dataValidation>
    <x:dataValidation type="list" sqref="L353">
      <x:formula1>"Not applicable"</x:formula1>
    </x:dataValidation>
    <x:dataValidation type="list" sqref="K354">
      <x:formula1>"Correct,Wrong,Missing"</x:formula1>
    </x:dataValidation>
    <x:dataValidation type="list" sqref="L354">
      <x:formula1>"Supported,Unsupported,Missing"</x:formula1>
    </x:dataValidation>
    <x:dataValidation type="list" sqref="K355">
      <x:formula1>"Correct,Wrong,Missing"</x:formula1>
    </x:dataValidation>
    <x:dataValidation type="list" sqref="L355">
      <x:formula1>"Supported,Unsupported,Missing"</x:formula1>
    </x:dataValidation>
    <x:dataValidation type="list" sqref="K356">
      <x:formula1>"Correct,Wrong,Missing"</x:formula1>
    </x:dataValidation>
    <x:dataValidation type="list" sqref="L356">
      <x:formula1>"Supported,Unsupported,Missing"</x:formula1>
    </x:dataValidation>
    <x:dataValidation type="list" sqref="K357">
      <x:formula1>"Correctly omitted,Invented"</x:formula1>
    </x:dataValidation>
    <x:dataValidation type="list" sqref="L357">
      <x:formula1>"Not applicable"</x:formula1>
    </x:dataValidation>
    <x:dataValidation type="list" sqref="K358">
      <x:formula1>"Correctly omitted,Invented"</x:formula1>
    </x:dataValidation>
    <x:dataValidation type="list" sqref="L358">
      <x:formula1>"Not applicable"</x:formula1>
    </x:dataValidation>
    <x:dataValidation type="list" sqref="K359">
      <x:formula1>"Correctly omitted,Invented"</x:formula1>
    </x:dataValidation>
    <x:dataValidation type="list" sqref="L359">
      <x:formula1>"Not applicable"</x:formula1>
    </x:dataValidation>
    <x:dataValidation type="list" sqref="K360">
      <x:formula1>"Correct,Wrong,Missing"</x:formula1>
    </x:dataValidation>
    <x:dataValidation type="list" sqref="L360">
      <x:formula1>"Supported,Unsupported,Missing"</x:formula1>
    </x:dataValidation>
    <x:dataValidation type="list" sqref="K361">
      <x:formula1>"Correctly omitted,Invented"</x:formula1>
    </x:dataValidation>
    <x:dataValidation type="list" sqref="L361">
      <x:formula1>"Not applicable"</x:formula1>
    </x:dataValidation>
    <x:dataValidation type="list" sqref="K362">
      <x:formula1>"Correctly omitted,Invented"</x:formula1>
    </x:dataValidation>
    <x:dataValidation type="list" sqref="L362">
      <x:formula1>"Not applicable"</x:formula1>
    </x:dataValidation>
    <x:dataValidation type="list" sqref="K363">
      <x:formula1>"Correct,Wrong,Missing"</x:formula1>
    </x:dataValidation>
    <x:dataValidation type="list" sqref="L363">
      <x:formula1>"Supported,Unsupported,Missing"</x:formula1>
    </x:dataValidation>
    <x:dataValidation type="list" sqref="K364">
      <x:formula1>"Correct,Wrong,Missing"</x:formula1>
    </x:dataValidation>
    <x:dataValidation type="list" sqref="L364">
      <x:formula1>"Supported,Unsupported,Missing"</x:formula1>
    </x:dataValidation>
    <x:dataValidation type="list" sqref="K365">
      <x:formula1>"Correct,Wrong,Missing"</x:formula1>
    </x:dataValidation>
    <x:dataValidation type="list" sqref="L365">
      <x:formula1>"Supported,Unsupported,Missing"</x:formula1>
    </x:dataValidation>
    <x:dataValidation type="list" sqref="K366">
      <x:formula1>"Correctly omitted,Invented"</x:formula1>
    </x:dataValidation>
    <x:dataValidation type="list" sqref="L366">
      <x:formula1>"Not applicable"</x:formula1>
    </x:dataValidation>
    <x:dataValidation type="list" sqref="K367">
      <x:formula1>"Correct,Wrong,Missing"</x:formula1>
    </x:dataValidation>
    <x:dataValidation type="list" sqref="L367">
      <x:formula1>"Supported,Unsupported,Missing"</x:formula1>
    </x:dataValidation>
    <x:dataValidation type="list" sqref="K368">
      <x:formula1>"Correct,Wrong,Missing"</x:formula1>
    </x:dataValidation>
    <x:dataValidation type="list" sqref="L368">
      <x:formula1>"Supported,Unsupported,Missing"</x:formula1>
    </x:dataValidation>
    <x:dataValidation type="list" sqref="K369">
      <x:formula1>"Correct,Wrong,Missing"</x:formula1>
    </x:dataValidation>
    <x:dataValidation type="list" sqref="L369">
      <x:formula1>"Supported,Unsupported,Missing"</x:formula1>
    </x:dataValidation>
    <x:dataValidation type="list" sqref="K370">
      <x:formula1>"Correct,Wrong,Missing"</x:formula1>
    </x:dataValidation>
    <x:dataValidation type="list" sqref="L370">
      <x:formula1>"Supported,Unsupported,Missing"</x:formula1>
    </x:dataValidation>
    <x:dataValidation type="list" sqref="K371">
      <x:formula1>"Correct,Wrong,Missing"</x:formula1>
    </x:dataValidation>
    <x:dataValidation type="list" sqref="L371">
      <x:formula1>"Supported,Unsupported,Missing"</x:formula1>
    </x:dataValidation>
    <x:dataValidation type="list" sqref="K372">
      <x:formula1>"Correct,Wrong,Missing"</x:formula1>
    </x:dataValidation>
    <x:dataValidation type="list" sqref="L372">
      <x:formula1>"Supported,Unsupported,Missing"</x:formula1>
    </x:dataValidation>
    <x:dataValidation type="list" sqref="K373">
      <x:formula1>"Correctly omitted,Invented"</x:formula1>
    </x:dataValidation>
    <x:dataValidation type="list" sqref="L373">
      <x:formula1>"Not applicable"</x:formula1>
    </x:dataValidation>
    <x:dataValidation type="list" sqref="K374">
      <x:formula1>"Correctly omitted,Invented"</x:formula1>
    </x:dataValidation>
    <x:dataValidation type="list" sqref="L374">
      <x:formula1>"Not applicable"</x:formula1>
    </x:dataValidation>
    <x:dataValidation type="list" sqref="K375">
      <x:formula1>"Correctly omitted,Invented"</x:formula1>
    </x:dataValidation>
    <x:dataValidation type="list" sqref="L375">
      <x:formula1>"Not applicable"</x:formula1>
    </x:dataValidation>
    <x:dataValidation type="list" sqref="K376">
      <x:formula1>"Correctly omitted,Invented"</x:formula1>
    </x:dataValidation>
    <x:dataValidation type="list" sqref="L376">
      <x:formula1>"Not applicable"</x:formula1>
    </x:dataValidation>
    <x:dataValidation type="list" sqref="K377">
      <x:formula1>"Correctly omitted,Invented"</x:formula1>
    </x:dataValidation>
    <x:dataValidation type="list" sqref="L377">
      <x:formula1>"Not applicable"</x:formula1>
    </x:dataValidation>
    <x:dataValidation type="list" sqref="K378">
      <x:formula1>"Correctly omitted,Invented"</x:formula1>
    </x:dataValidation>
    <x:dataValidation type="list" sqref="L378">
      <x:formula1>"Not applicable"</x:formula1>
    </x:dataValidation>
    <x:dataValidation type="list" sqref="K379">
      <x:formula1>"Correct,Wrong,Missing"</x:formula1>
    </x:dataValidation>
    <x:dataValidation type="list" sqref="L379">
      <x:formula1>"Supported,Unsupported,Missing"</x:formula1>
    </x:dataValidation>
    <x:dataValidation type="list" sqref="K380">
      <x:formula1>"Correct,Wrong,Missing"</x:formula1>
    </x:dataValidation>
    <x:dataValidation type="list" sqref="L380">
      <x:formula1>"Supported,Unsupported,Missing"</x:formula1>
    </x:dataValidation>
    <x:dataValidation type="list" sqref="K381">
      <x:formula1>"Correct,Wrong,Missing"</x:formula1>
    </x:dataValidation>
    <x:dataValidation type="list" sqref="L381">
      <x:formula1>"Supported,Unsupported,Missing"</x:formula1>
    </x:dataValidation>
    <x:dataValidation type="list" sqref="K382">
      <x:formula1>"Correctly omitted,Invented"</x:formula1>
    </x:dataValidation>
    <x:dataValidation type="list" sqref="L382">
      <x:formula1>"Not applicable"</x:formula1>
    </x:dataValidation>
    <x:dataValidation type="list" sqref="K383">
      <x:formula1>"Correct,Wrong,Missing"</x:formula1>
    </x:dataValidation>
    <x:dataValidation type="list" sqref="L383">
      <x:formula1>"Supported,Unsupported,Missing"</x:formula1>
    </x:dataValidation>
    <x:dataValidation type="list" sqref="K384">
      <x:formula1>"Correct,Wrong,Missing"</x:formula1>
    </x:dataValidation>
    <x:dataValidation type="list" sqref="L384">
      <x:formula1>"Supported,Unsupported,Missing"</x:formula1>
    </x:dataValidation>
    <x:dataValidation type="list" sqref="K385">
      <x:formula1>"Correctly omitted,Invented"</x:formula1>
    </x:dataValidation>
    <x:dataValidation type="list" sqref="L385">
      <x:formula1>"Not applicable"</x:formula1>
    </x:dataValidation>
    <x:dataValidation type="list" sqref="K386">
      <x:formula1>"Correctly omitted,Invented"</x:formula1>
    </x:dataValidation>
    <x:dataValidation type="list" sqref="L386">
      <x:formula1>"Not applicable"</x:formula1>
    </x:dataValidation>
    <x:dataValidation type="list" sqref="K387">
      <x:formula1>"Correctly omitted,Invented"</x:formula1>
    </x:dataValidation>
    <x:dataValidation type="list" sqref="L387">
      <x:formula1>"Not applicable"</x:formula1>
    </x:dataValidation>
    <x:dataValidation type="list" sqref="K388">
      <x:formula1>"Correct,Wrong,Missing"</x:formula1>
    </x:dataValidation>
    <x:dataValidation type="list" sqref="L388">
      <x:formula1>"Supported,Unsupported,Missing"</x:formula1>
    </x:dataValidation>
    <x:dataValidation type="list" sqref="K389">
      <x:formula1>"Correct,Wrong,Missing"</x:formula1>
    </x:dataValidation>
    <x:dataValidation type="list" sqref="L389">
      <x:formula1>"Supported,Unsupported,Missing"</x:formula1>
    </x:dataValidation>
    <x:dataValidation type="list" sqref="K390">
      <x:formula1>"Correctly omitted,Invented"</x:formula1>
    </x:dataValidation>
    <x:dataValidation type="list" sqref="L390">
      <x:formula1>"Not applicable"</x:formula1>
    </x:dataValidation>
    <x:dataValidation type="list" sqref="K391">
      <x:formula1>"Correctly omitted,Invented"</x:formula1>
    </x:dataValidation>
    <x:dataValidation type="list" sqref="L391">
      <x:formula1>"Not applicable"</x:formula1>
    </x:dataValidation>
    <x:dataValidation type="list" sqref="K392">
      <x:formula1>"Correctly omitted,Invented"</x:formula1>
    </x:dataValidation>
    <x:dataValidation type="list" sqref="L392">
      <x:formula1>"Not applicable"</x:formula1>
    </x:dataValidation>
    <x:dataValidation type="list" sqref="K393">
      <x:formula1>"Correct,Wrong,Missing"</x:formula1>
    </x:dataValidation>
    <x:dataValidation type="list" sqref="L393">
      <x:formula1>"Supported,Unsupported,Missing"</x:formula1>
    </x:dataValidation>
    <x:dataValidation type="list" sqref="K394">
      <x:formula1>"Correct,Wrong,Missing"</x:formula1>
    </x:dataValidation>
    <x:dataValidation type="list" sqref="L394">
      <x:formula1>"Supported,Unsupported,Missing"</x:formula1>
    </x:dataValidation>
    <x:dataValidation type="list" sqref="K395">
      <x:formula1>"Correct,Wrong,Missing"</x:formula1>
    </x:dataValidation>
    <x:dataValidation type="list" sqref="L395">
      <x:formula1>"Supported,Unsupported,Missing"</x:formula1>
    </x:dataValidation>
    <x:dataValidation type="list" sqref="K396">
      <x:formula1>"Correct,Wrong,Missing"</x:formula1>
    </x:dataValidation>
    <x:dataValidation type="list" sqref="L396">
      <x:formula1>"Supported,Unsupported,Missing"</x:formula1>
    </x:dataValidation>
    <x:dataValidation type="list" sqref="K397">
      <x:formula1>"Correct,Wrong,Missing"</x:formula1>
    </x:dataValidation>
    <x:dataValidation type="list" sqref="L397">
      <x:formula1>"Supported,Unsupported,Missing"</x:formula1>
    </x:dataValidation>
    <x:dataValidation type="list" sqref="K398">
      <x:formula1>"Correctly omitted,Invented"</x:formula1>
    </x:dataValidation>
    <x:dataValidation type="list" sqref="L398">
      <x:formula1>"Not applicable"</x:formula1>
    </x:dataValidation>
    <x:dataValidation type="list" sqref="K399">
      <x:formula1>"Correct,Wrong,Missing"</x:formula1>
    </x:dataValidation>
    <x:dataValidation type="list" sqref="L399">
      <x:formula1>"Supported,Unsupported,Missing"</x:formula1>
    </x:dataValidation>
    <x:dataValidation type="list" sqref="K400">
      <x:formula1>"Correct,Wrong,Missing"</x:formula1>
    </x:dataValidation>
    <x:dataValidation type="list" sqref="L400">
      <x:formula1>"Supported,Unsupported,Missing"</x:formula1>
    </x:dataValidation>
    <x:dataValidation type="list" sqref="K401">
      <x:formula1>"Correctly omitted,Invented"</x:formula1>
    </x:dataValidation>
    <x:dataValidation type="list" sqref="L401">
      <x:formula1>"Not applicable"</x:formula1>
    </x:dataValidation>
    <x:dataValidation type="list" sqref="K402">
      <x:formula1>"Correct,Wrong,Missing"</x:formula1>
    </x:dataValidation>
    <x:dataValidation type="list" sqref="L402">
      <x:formula1>"Supported,Unsupported,Missing"</x:formula1>
    </x:dataValidation>
    <x:dataValidation type="list" sqref="K403">
      <x:formula1>"Correct,Wrong,Missing"</x:formula1>
    </x:dataValidation>
    <x:dataValidation type="list" sqref="L403">
      <x:formula1>"Supported,Unsupported,Missing"</x:formula1>
    </x:dataValidation>
    <x:dataValidation type="list" sqref="K404">
      <x:formula1>"Correct,Wrong,Missing"</x:formula1>
    </x:dataValidation>
    <x:dataValidation type="list" sqref="L404">
      <x:formula1>"Supported,Unsupported,Missing"</x:formula1>
    </x:dataValidation>
    <x:dataValidation type="list" sqref="K405">
      <x:formula1>"Correctly omitted,Invented"</x:formula1>
    </x:dataValidation>
    <x:dataValidation type="list" sqref="L405">
      <x:formula1>"Not applicable"</x:formula1>
    </x:dataValidation>
    <x:dataValidation type="list" sqref="K406">
      <x:formula1>"Correctly omitted,Invented"</x:formula1>
    </x:dataValidation>
    <x:dataValidation type="list" sqref="L406">
      <x:formula1>"Not applicable"</x:formula1>
    </x:dataValidation>
    <x:dataValidation type="list" sqref="K407">
      <x:formula1>"Correctly omitted,Invented"</x:formula1>
    </x:dataValidation>
    <x:dataValidation type="list" sqref="L407">
      <x:formula1>"Not applicable"</x:formula1>
    </x:dataValidation>
    <x:dataValidation type="list" sqref="K408">
      <x:formula1>"Correct,Wrong,Missing"</x:formula1>
    </x:dataValidation>
    <x:dataValidation type="list" sqref="L408">
      <x:formula1>"Supported,Unsupported,Missing"</x:formula1>
    </x:dataValidation>
    <x:dataValidation type="list" sqref="K409">
      <x:formula1>"Correctly omitted,Invented"</x:formula1>
    </x:dataValidation>
    <x:dataValidation type="list" sqref="L409">
      <x:formula1>"Not applicable"</x:formula1>
    </x:dataValidation>
    <x:dataValidation type="list" sqref="K410">
      <x:formula1>"Correctly omitted,Invented"</x:formula1>
    </x:dataValidation>
    <x:dataValidation type="list" sqref="L410">
      <x:formula1>"Not applicable"</x:formula1>
    </x:dataValidation>
    <x:dataValidation type="list" sqref="K411">
      <x:formula1>"Correct,Wrong,Missing"</x:formula1>
    </x:dataValidation>
    <x:dataValidation type="list" sqref="L411">
      <x:formula1>"Supported,Unsupported,Missing"</x:formula1>
    </x:dataValidation>
    <x:dataValidation type="list" sqref="K412">
      <x:formula1>"Correct,Wrong,Missing"</x:formula1>
    </x:dataValidation>
    <x:dataValidation type="list" sqref="L412">
      <x:formula1>"Supported,Unsupported,Missing"</x:formula1>
    </x:dataValidation>
    <x:dataValidation type="list" sqref="K413">
      <x:formula1>"Correct,Wrong,Missing"</x:formula1>
    </x:dataValidation>
    <x:dataValidation type="list" sqref="L413">
      <x:formula1>"Supported,Unsupported,Missing"</x:formula1>
    </x:dataValidation>
    <x:dataValidation type="list" sqref="K414">
      <x:formula1>"Correctly omitted,Invented"</x:formula1>
    </x:dataValidation>
    <x:dataValidation type="list" sqref="L414">
      <x:formula1>"Not applicable"</x:formula1>
    </x:dataValidation>
    <x:dataValidation type="list" sqref="K415">
      <x:formula1>"Correct,Wrong,Missing"</x:formula1>
    </x:dataValidation>
    <x:dataValidation type="list" sqref="L415">
      <x:formula1>"Supported,Unsupported,Missing"</x:formula1>
    </x:dataValidation>
    <x:dataValidation type="list" sqref="K416">
      <x:formula1>"Correct,Wrong,Missing"</x:formula1>
    </x:dataValidation>
    <x:dataValidation type="list" sqref="L416">
      <x:formula1>"Supported,Unsupported,Missing"</x:formula1>
    </x:dataValidation>
    <x:dataValidation type="list" sqref="K417">
      <x:formula1>"Correct,Wrong,Missing"</x:formula1>
    </x:dataValidation>
    <x:dataValidation type="list" sqref="L417">
      <x:formula1>"Supported,Unsupported,Missing"</x:formula1>
    </x:dataValidation>
    <x:dataValidation type="list" sqref="K418">
      <x:formula1>"Correct,Wrong,Missing"</x:formula1>
    </x:dataValidation>
    <x:dataValidation type="list" sqref="L418">
      <x:formula1>"Supported,Unsupported,Missing"</x:formula1>
    </x:dataValidation>
    <x:dataValidation type="list" sqref="K419">
      <x:formula1>"Correct,Wrong,Missing"</x:formula1>
    </x:dataValidation>
    <x:dataValidation type="list" sqref="L419">
      <x:formula1>"Supported,Unsupported,Missing"</x:formula1>
    </x:dataValidation>
    <x:dataValidation type="list" sqref="K420">
      <x:formula1>"Correct,Wrong,Missing"</x:formula1>
    </x:dataValidation>
    <x:dataValidation type="list" sqref="L420">
      <x:formula1>"Supported,Unsupported,Missing"</x:formula1>
    </x:dataValidation>
    <x:dataValidation type="list" sqref="K421">
      <x:formula1>"Correctly omitted,Invented"</x:formula1>
    </x:dataValidation>
    <x:dataValidation type="list" sqref="L421">
      <x:formula1>"Not applicable"</x:formula1>
    </x:dataValidation>
    <x:dataValidation type="list" sqref="K422">
      <x:formula1>"Correctly omitted,Invented"</x:formula1>
    </x:dataValidation>
    <x:dataValidation type="list" sqref="L422">
      <x:formula1>"Not applicable"</x:formula1>
    </x:dataValidation>
    <x:dataValidation type="list" sqref="K423">
      <x:formula1>"Correctly omitted,Invented"</x:formula1>
    </x:dataValidation>
    <x:dataValidation type="list" sqref="L423">
      <x:formula1>"Not applicable"</x:formula1>
    </x:dataValidation>
    <x:dataValidation type="list" sqref="K424">
      <x:formula1>"Correctly omitted,Invented"</x:formula1>
    </x:dataValidation>
    <x:dataValidation type="list" sqref="L424">
      <x:formula1>"Not applicable"</x:formula1>
    </x:dataValidation>
    <x:dataValidation type="list" sqref="K425">
      <x:formula1>"Correct,Wrong,Missing"</x:formula1>
    </x:dataValidation>
    <x:dataValidation type="list" sqref="L425">
      <x:formula1>"Supported,Unsupported,Missing"</x:formula1>
    </x:dataValidation>
    <x:dataValidation type="list" sqref="K426">
      <x:formula1>"Correct,Wrong,Missing"</x:formula1>
    </x:dataValidation>
    <x:dataValidation type="list" sqref="L426">
      <x:formula1>"Supported,Unsupported,Missing"</x:formula1>
    </x:dataValidation>
    <x:dataValidation type="list" sqref="K427">
      <x:formula1>"Correct,Wrong,Missing"</x:formula1>
    </x:dataValidation>
    <x:dataValidation type="list" sqref="L427">
      <x:formula1>"Supported,Unsupported,Missing"</x:formula1>
    </x:dataValidation>
    <x:dataValidation type="list" sqref="K428">
      <x:formula1>"Correct,Wrong,Missing"</x:formula1>
    </x:dataValidation>
    <x:dataValidation type="list" sqref="L428">
      <x:formula1>"Supported,Unsupported,Missing"</x:formula1>
    </x:dataValidation>
    <x:dataValidation type="list" sqref="K429">
      <x:formula1>"Correct,Wrong,Missing"</x:formula1>
    </x:dataValidation>
    <x:dataValidation type="list" sqref="L429">
      <x:formula1>"Supported,Unsupported,Missing"</x:formula1>
    </x:dataValidation>
    <x:dataValidation type="list" sqref="K430">
      <x:formula1>"Correctly omitted,Invented"</x:formula1>
    </x:dataValidation>
    <x:dataValidation type="list" sqref="L430">
      <x:formula1>"Not applicable"</x:formula1>
    </x:dataValidation>
    <x:dataValidation type="list" sqref="K431">
      <x:formula1>"Correct,Wrong,Missing"</x:formula1>
    </x:dataValidation>
    <x:dataValidation type="list" sqref="L431">
      <x:formula1>"Supported,Unsupported,Missing"</x:formula1>
    </x:dataValidation>
    <x:dataValidation type="list" sqref="K432">
      <x:formula1>"Correctly omitted,Invented"</x:formula1>
    </x:dataValidation>
    <x:dataValidation type="list" sqref="L432">
      <x:formula1>"Not applicable"</x:formula1>
    </x:dataValidation>
    <x:dataValidation type="list" sqref="K433">
      <x:formula1>"Correctly omitted,Invented"</x:formula1>
    </x:dataValidation>
    <x:dataValidation type="list" sqref="L433">
      <x:formula1>"Not applicable"</x:formula1>
    </x:dataValidation>
    <x:dataValidation type="list" sqref="K434">
      <x:formula1>"Correctly omitted,Invented"</x:formula1>
    </x:dataValidation>
    <x:dataValidation type="list" sqref="L434">
      <x:formula1>"Not applicable"</x:formula1>
    </x:dataValidation>
    <x:dataValidation type="list" sqref="K435">
      <x:formula1>"Correct,Wrong,Missing"</x:formula1>
    </x:dataValidation>
    <x:dataValidation type="list" sqref="L435">
      <x:formula1>"Supported,Unsupported,Missing"</x:formula1>
    </x:dataValidation>
    <x:dataValidation type="list" sqref="K436">
      <x:formula1>"Correct,Wrong,Missing"</x:formula1>
    </x:dataValidation>
    <x:dataValidation type="list" sqref="L436">
      <x:formula1>"Supported,Unsupported,Missing"</x:formula1>
    </x:dataValidation>
    <x:dataValidation type="list" sqref="K437">
      <x:formula1>"Correctly omitted,Invented"</x:formula1>
    </x:dataValidation>
    <x:dataValidation type="list" sqref="L437">
      <x:formula1>"Not applicable"</x:formula1>
    </x:dataValidation>
    <x:dataValidation type="list" sqref="K438">
      <x:formula1>"Correctly omitted,Invented"</x:formula1>
    </x:dataValidation>
    <x:dataValidation type="list" sqref="L438">
      <x:formula1>"Not applicable"</x:formula1>
    </x:dataValidation>
    <x:dataValidation type="list" sqref="K439">
      <x:formula1>"Correctly omitted,Invented"</x:formula1>
    </x:dataValidation>
    <x:dataValidation type="list" sqref="L439">
      <x:formula1>"Not applicable"</x:formula1>
    </x:dataValidation>
    <x:dataValidation type="list" sqref="K440">
      <x:formula1>"Correct,Wrong,Missing"</x:formula1>
    </x:dataValidation>
    <x:dataValidation type="list" sqref="L440">
      <x:formula1>"Supported,Unsupported,Missing"</x:formula1>
    </x:dataValidation>
    <x:dataValidation type="list" sqref="K441">
      <x:formula1>"Correctly omitted,Invented"</x:formula1>
    </x:dataValidation>
    <x:dataValidation type="list" sqref="L441">
      <x:formula1>"Not applicable"</x:formula1>
    </x:dataValidation>
    <x:dataValidation type="list" sqref="K442">
      <x:formula1>"Correctly omitted,Invented"</x:formula1>
    </x:dataValidation>
    <x:dataValidation type="list" sqref="L442">
      <x:formula1>"Not applicable"</x:formula1>
    </x:dataValidation>
    <x:dataValidation type="list" sqref="K443">
      <x:formula1>"Correct,Wrong,Missing"</x:formula1>
    </x:dataValidation>
    <x:dataValidation type="list" sqref="L443">
      <x:formula1>"Supported,Unsupported,Missing"</x:formula1>
    </x:dataValidation>
    <x:dataValidation type="list" sqref="K444">
      <x:formula1>"Correct,Wrong,Missing"</x:formula1>
    </x:dataValidation>
    <x:dataValidation type="list" sqref="L444">
      <x:formula1>"Supported,Unsupported,Missing"</x:formula1>
    </x:dataValidation>
    <x:dataValidation type="list" sqref="K445">
      <x:formula1>"Correct,Wrong,Missing"</x:formula1>
    </x:dataValidation>
    <x:dataValidation type="list" sqref="L445">
      <x:formula1>"Supported,Unsupported,Missing"</x:formula1>
    </x:dataValidation>
    <x:dataValidation type="list" sqref="K446">
      <x:formula1>"Correctly omitted,Invented"</x:formula1>
    </x:dataValidation>
    <x:dataValidation type="list" sqref="L446">
      <x:formula1>"Not applicable"</x:formula1>
    </x:dataValidation>
    <x:dataValidation type="list" sqref="K447">
      <x:formula1>"Correct,Wrong,Missing"</x:formula1>
    </x:dataValidation>
    <x:dataValidation type="list" sqref="L447">
      <x:formula1>"Supported,Unsupported,Missing"</x:formula1>
    </x:dataValidation>
    <x:dataValidation type="list" sqref="K448">
      <x:formula1>"Correct,Wrong,Missing"</x:formula1>
    </x:dataValidation>
    <x:dataValidation type="list" sqref="L448">
      <x:formula1>"Supported,Unsupported,Missing"</x:formula1>
    </x:dataValidation>
    <x:dataValidation type="list" sqref="K449">
      <x:formula1>"Correct,Wrong,Missing"</x:formula1>
    </x:dataValidation>
    <x:dataValidation type="list" sqref="L449">
      <x:formula1>"Supported,Unsupported,Missing"</x:formula1>
    </x:dataValidation>
    <x:dataValidation type="list" sqref="K450">
      <x:formula1>"Correct,Wrong,Missing"</x:formula1>
    </x:dataValidation>
    <x:dataValidation type="list" sqref="L450">
      <x:formula1>"Supported,Unsupported,Missing"</x:formula1>
    </x:dataValidation>
    <x:dataValidation type="list" sqref="K451">
      <x:formula1>"Correct,Wrong,Missing"</x:formula1>
    </x:dataValidation>
    <x:dataValidation type="list" sqref="L451">
      <x:formula1>"Supported,Unsupported,Missing"</x:formula1>
    </x:dataValidation>
    <x:dataValidation type="list" sqref="K452">
      <x:formula1>"Correct,Wrong,Missing"</x:formula1>
    </x:dataValidation>
    <x:dataValidation type="list" sqref="L452">
      <x:formula1>"Supported,Unsupported,Missing"</x:formula1>
    </x:dataValidation>
    <x:dataValidation type="list" sqref="K453">
      <x:formula1>"Correctly omitted,Invented"</x:formula1>
    </x:dataValidation>
    <x:dataValidation type="list" sqref="L453">
      <x:formula1>"Not applicable"</x:formula1>
    </x:dataValidation>
    <x:dataValidation type="list" sqref="K454">
      <x:formula1>"Correctly omitted,Invented"</x:formula1>
    </x:dataValidation>
    <x:dataValidation type="list" sqref="L454">
      <x:formula1>"Not applicable"</x:formula1>
    </x:dataValidation>
    <x:dataValidation type="list" sqref="K455">
      <x:formula1>"Correctly omitted,Invented"</x:formula1>
    </x:dataValidation>
    <x:dataValidation type="list" sqref="L455">
      <x:formula1>"Not applicable"</x:formula1>
    </x:dataValidation>
    <x:dataValidation type="list" sqref="K456">
      <x:formula1>"Correctly omitted,Invented"</x:formula1>
    </x:dataValidation>
    <x:dataValidation type="list" sqref="L456">
      <x:formula1>"Not applicable"</x:formula1>
    </x:dataValidation>
    <x:dataValidation type="list" sqref="K457">
      <x:formula1>"Correct,Wrong,Missing"</x:formula1>
    </x:dataValidation>
    <x:dataValidation type="list" sqref="L457">
      <x:formula1>"Supported,Unsupported,Missing"</x:formula1>
    </x:dataValidation>
    <x:dataValidation type="list" sqref="K458">
      <x:formula1>"Correct,Wrong,Missing"</x:formula1>
    </x:dataValidation>
    <x:dataValidation type="list" sqref="L458">
      <x:formula1>"Supported,Unsupported,Missing"</x:formula1>
    </x:dataValidation>
    <x:dataValidation type="list" sqref="K459">
      <x:formula1>"Correct,Wrong,Missing"</x:formula1>
    </x:dataValidation>
    <x:dataValidation type="list" sqref="L459">
      <x:formula1>"Supported,Unsupported,Missing"</x:formula1>
    </x:dataValidation>
    <x:dataValidation type="list" sqref="K460">
      <x:formula1>"Correct,Wrong,Missing"</x:formula1>
    </x:dataValidation>
    <x:dataValidation type="list" sqref="L460">
      <x:formula1>"Supported,Unsupported,Missing"</x:formula1>
    </x:dataValidation>
    <x:dataValidation type="list" sqref="K461">
      <x:formula1>"Correct,Wrong,Missing"</x:formula1>
    </x:dataValidation>
    <x:dataValidation type="list" sqref="L461">
      <x:formula1>"Supported,Unsupported,Missing"</x:formula1>
    </x:dataValidation>
    <x:dataValidation type="list" sqref="K462">
      <x:formula1>"Correctly omitted,Invented"</x:formula1>
    </x:dataValidation>
    <x:dataValidation type="list" sqref="L462">
      <x:formula1>"Not applicable"</x:formula1>
    </x:dataValidation>
    <x:dataValidation type="list" sqref="K463">
      <x:formula1>"Correct,Wrong,Missing"</x:formula1>
    </x:dataValidation>
    <x:dataValidation type="list" sqref="L463">
      <x:formula1>"Supported,Unsupported,Missing"</x:formula1>
    </x:dataValidation>
    <x:dataValidation type="list" sqref="K464">
      <x:formula1>"Correct,Wrong,Missing"</x:formula1>
    </x:dataValidation>
    <x:dataValidation type="list" sqref="L464">
      <x:formula1>"Supported,Unsupported,Missing"</x:formula1>
    </x:dataValidation>
    <x:dataValidation type="list" sqref="K465">
      <x:formula1>"Correctly omitted,Invented"</x:formula1>
    </x:dataValidation>
    <x:dataValidation type="list" sqref="L465">
      <x:formula1>"Not applicable"</x:formula1>
    </x:dataValidation>
    <x:dataValidation type="list" sqref="K466">
      <x:formula1>"Correct,Wrong,Missing"</x:formula1>
    </x:dataValidation>
    <x:dataValidation type="list" sqref="L466">
      <x:formula1>"Supported,Unsupported,Missing"</x:formula1>
    </x:dataValidation>
    <x:dataValidation type="list" sqref="K467">
      <x:formula1>"Correct,Wrong,Missing"</x:formula1>
    </x:dataValidation>
    <x:dataValidation type="list" sqref="L467">
      <x:formula1>"Supported,Unsupported,Missing"</x:formula1>
    </x:dataValidation>
    <x:dataValidation type="list" sqref="K468">
      <x:formula1>"Correct,Wrong,Missing"</x:formula1>
    </x:dataValidation>
    <x:dataValidation type="list" sqref="L468">
      <x:formula1>"Supported,Unsupported,Missing"</x:formula1>
    </x:dataValidation>
    <x:dataValidation type="list" sqref="K469">
      <x:formula1>"Correctly omitted,Invented"</x:formula1>
    </x:dataValidation>
    <x:dataValidation type="list" sqref="L469">
      <x:formula1>"Not applicable"</x:formula1>
    </x:dataValidation>
    <x:dataValidation type="list" sqref="K470">
      <x:formula1>"Correctly omitted,Invented"</x:formula1>
    </x:dataValidation>
    <x:dataValidation type="list" sqref="L470">
      <x:formula1>"Not applicable"</x:formula1>
    </x:dataValidation>
    <x:dataValidation type="list" sqref="K471">
      <x:formula1>"Correctly omitted,Invented"</x:formula1>
    </x:dataValidation>
    <x:dataValidation type="list" sqref="L471">
      <x:formula1>"Not applicable"</x:formula1>
    </x:dataValidation>
    <x:dataValidation type="list" sqref="K472">
      <x:formula1>"Correctly omitted,Invented"</x:formula1>
    </x:dataValidation>
    <x:dataValidation type="list" sqref="L472">
      <x:formula1>"Not applicable"</x:formula1>
    </x:dataValidation>
    <x:dataValidation type="list" sqref="K473">
      <x:formula1>"Correctly omitted,Invented"</x:formula1>
    </x:dataValidation>
    <x:dataValidation type="list" sqref="L473">
      <x:formula1>"Not applicable"</x:formula1>
    </x:dataValidation>
    <x:dataValidation type="list" sqref="K474">
      <x:formula1>"Correctly omitted,Invented"</x:formula1>
    </x:dataValidation>
    <x:dataValidation type="list" sqref="L474">
      <x:formula1>"Not applicable"</x:formula1>
    </x:dataValidation>
    <x:dataValidation type="list" sqref="K475">
      <x:formula1>"Correctly omitted,Invented"</x:formula1>
    </x:dataValidation>
    <x:dataValidation type="list" sqref="L475">
      <x:formula1>"Not applicable"</x:formula1>
    </x:dataValidation>
    <x:dataValidation type="list" sqref="K476">
      <x:formula1>"Correctly omitted,Invented"</x:formula1>
    </x:dataValidation>
    <x:dataValidation type="list" sqref="L476">
      <x:formula1>"Not applicable"</x:formula1>
    </x:dataValidation>
    <x:dataValidation type="list" sqref="K477">
      <x:formula1>"Correctly omitted,Invented"</x:formula1>
    </x:dataValidation>
    <x:dataValidation type="list" sqref="L477">
      <x:formula1>"Not applicable"</x:formula1>
    </x:dataValidation>
    <x:dataValidation type="list" sqref="K478">
      <x:formula1>"Correctly omitted,Invented"</x:formula1>
    </x:dataValidation>
    <x:dataValidation type="list" sqref="L478">
      <x:formula1>"Not applicable"</x:formula1>
    </x:dataValidation>
    <x:dataValidation type="list" sqref="K479">
      <x:formula1>"Correctly omitted,Invented"</x:formula1>
    </x:dataValidation>
    <x:dataValidation type="list" sqref="L479">
      <x:formula1>"Not applicable"</x:formula1>
    </x:dataValidation>
    <x:dataValidation type="list" sqref="K480">
      <x:formula1>"Correctly omitted,Invented"</x:formula1>
    </x:dataValidation>
    <x:dataValidation type="list" sqref="L480">
      <x:formula1>"Not applicable"</x:formula1>
    </x:dataValidation>
    <x:dataValidation type="list" sqref="K481">
      <x:formula1>"Correctly omitted,Invented"</x:formula1>
    </x:dataValidation>
    <x:dataValidation type="list" sqref="L481">
      <x:formula1>"Not applicable"</x:formula1>
    </x:dataValidation>
    <x:dataValidation type="list" sqref="K482">
      <x:formula1>"Correctly omitted,Invented"</x:formula1>
    </x:dataValidation>
    <x:dataValidation type="list" sqref="L482">
      <x:formula1>"Not applicable"</x:formula1>
    </x:dataValidation>
    <x:dataValidation type="list" sqref="K483">
      <x:formula1>"Correctly omitted,Invented"</x:formula1>
    </x:dataValidation>
    <x:dataValidation type="list" sqref="L483">
      <x:formula1>"Not applicable"</x:formula1>
    </x:dataValidation>
    <x:dataValidation type="list" sqref="K484">
      <x:formula1>"Correctly omitted,Invented"</x:formula1>
    </x:dataValidation>
    <x:dataValidation type="list" sqref="L484">
      <x:formula1>"Not applicable"</x:formula1>
    </x:dataValidation>
    <x:dataValidation type="list" sqref="K485">
      <x:formula1>"Correctly omitted,Invented"</x:formula1>
    </x:dataValidation>
    <x:dataValidation type="list" sqref="L485">
      <x:formula1>"Not applicable"</x:formula1>
    </x:dataValidation>
    <x:dataValidation type="list" sqref="K486">
      <x:formula1>"Correctly omitted,Invented"</x:formula1>
    </x:dataValidation>
    <x:dataValidation type="list" sqref="L486">
      <x:formula1>"Not applicable"</x:formula1>
    </x:dataValidation>
    <x:dataValidation type="list" sqref="K487">
      <x:formula1>"Correctly omitted,Invented"</x:formula1>
    </x:dataValidation>
    <x:dataValidation type="list" sqref="L487">
      <x:formula1>"Not applicable"</x:formula1>
    </x:dataValidation>
  </x:dataValidations>
  <x:pageMargins left="0.7" right="0.7" top="0.75" bottom="0.75" header="0.3" footer="0.3"/>
  <x:tableParts count="1">
    <x:tablePart xmlns:r="http://schemas.openxmlformats.org/officeDocument/2006/relationships" r:id="Rff4167f628f741ef"/>
  </x:tableParts>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0" hidden="0" customWidth="1"/>
    <x:col min="2" max="2" width="27" hidden="0" customWidth="1"/>
    <x:col min="3" max="3" width="132" hidden="0" customWidth="1"/>
  </x:cols>
  <x:sheetData>
    <x:row r="1" ht="23" customHeight="1">
      <x:c r="A1" s="2"/>
      <x:c r="B1" s="2"/>
      <x:c r="C1" s="2"/>
    </x:row>
    <x:row r="2" ht="23" customHeight="1">
      <x:c r="A2" s="3" t="str">
        <x:v>Case review guide</x:v>
      </x:c>
      <x:c r="B2" s="2"/>
      <x:c r="C2" s="2"/>
    </x:row>
    <x:row r="3" ht="23" customHeight="1">
      <x:c r="A3" s="4"/>
      <x:c r="B3" s="4"/>
      <x:c r="C3" s="4"/>
    </x:row>
    <x:row r="4" ht="23" customHeight="1">
      <x:c r="A4" s="5" t="str">
        <x:v>Compare extraction first, then deterministic findings, then the assistant answer. Reviewed gold assumes corrected values with high confidence.</x:v>
      </x:c>
      <x:c r="B4" s="5"/>
      <x:c r="C4" s="5"/>
    </x:row>
    <x:row r="5" ht="23" customHeight="1">
      <x:c r="A5" s="5" t="str">
        <x:v>Rule IDs are expected patterns, not a complete list. Actual document IDs may differ. Official verification must remain not performed.</x:v>
      </x:c>
      <x:c r="B5" s="5"/>
      <x:c r="C5" s="5"/>
    </x:row>
    <x:row r="6" ht="38" customHeight="1">
      <x:c r="A6" s="9" t="str">
        <x:v>Case</x:v>
      </x:c>
      <x:c r="B6" s="9" t="str">
        <x:v>Review item</x:v>
      </x:c>
      <x:c r="C6" s="9" t="str">
        <x:v>Expected answer / instruction</x:v>
      </x:c>
    </x:row>
    <x:row r="7" ht="30" customHeight="1">
      <x:c r="A7" s="32" t="str">
        <x:v>BV01</x:v>
      </x:c>
      <x:c r="B7" s="32" t="str">
        <x:v>Case</x:v>
      </x:c>
      <x:c r="C7" s="32" t="str">
        <x:v>Matching English text records (development; matching)</x:v>
      </x:c>
    </x:row>
    <x:row r="8" ht="44" customHeight="1">
      <x:c r="A8" s="12" t="str">
        <x:v>BV01</x:v>
      </x:c>
      <x:c r="B8" s="12" t="str">
        <x:v>Upload files</x:v>
      </x:c>
      <x:c r="C8" s="12" t="str">
        <x:v>BV01-01-sale-deed.txt (sale_deed; en; clear)
BV01-02-jamabandi.txt (jamabandi; en; clear)</x:v>
      </x:c>
    </x:row>
    <x:row r="9" ht="44" customHeight="1">
      <x:c r="A9" s="12" t="str">
        <x:v>BV01</x:v>
      </x:c>
      <x:c r="B9" s="12" t="str">
        <x:v>Case setup</x:v>
      </x:c>
      <x:c r="C9" s="12" t="str">
        <x:v>state: BR; district: Patna; circle: Danapur; mauza: Kalpana Demo Mauza; khata: 0018; khesra: 0042; seller: Asha Demo; purpose: purchase</x:v>
      </x:c>
    </x:row>
    <x:row r="10" ht="61" customHeight="1">
      <x:c r="A10" s="12" t="str">
        <x:v>BV01</x:v>
      </x:c>
      <x:c r="B10" s="12" t="str">
        <x:v>Expected behavior</x:v>
      </x:c>
      <x:c r="C10" s="12" t="str">
        <x:v>Extract both documents independently and preserve 0018 and 0042 exactly.
After source review, report only textual owner agreement and numerical area agreement.
Keep missing mutation, map and encumbrance evidence visible.</x:v>
      </x:c>
    </x:row>
    <x:row r="11" ht="30" customHeight="1">
      <x:c r="A11" s="12" t="str">
        <x:v>BV01</x:v>
      </x:c>
      <x:c r="B11" s="12" t="str">
        <x:v>Assistant question</x:v>
      </x:c>
      <x:c r="C11" s="12" t="str">
        <x:v>What agrees between these two fictional records, and what remains unchecked?</x:v>
      </x:c>
    </x:row>
    <x:row r="12" ht="61" customHeight="1">
      <x:c r="A12" s="12" t="str">
        <x:v>BV01</x:v>
      </x:c>
      <x:c r="B12" s="12" t="str">
        <x:v>Assistant must mention</x:v>
      </x:c>
      <x:c r="C12" s="12" t="str">
        <x:v>The deed buyer and recorded owner both read Ravi Demo.
The two documents record 8 decimal for the same supplied parcel identifiers.
Official verification and missing supporting evidence remain outstanding.</x:v>
      </x:c>
    </x:row>
    <x:row r="13" ht="78" customHeight="1">
      <x:c r="A13" s="12" t="str">
        <x:v>BV01</x:v>
      </x:c>
      <x:c r="B13" s="12" t="str">
        <x:v>Must not claim</x:v>
      </x:c>
      <x:c r="C13" s="12" t="str">
        <x:v>Government records were checked.
Ownership or title is legally verified.
The property is safe to purchase.
A discrepancy proves fraud.</x:v>
      </x:c>
    </x:row>
    <x:row r="14" ht="112" customHeight="1">
      <x:c r="A14" s="12" t="str">
        <x:v>BV01</x:v>
      </x:c>
      <x:c r="B14" s="12" t="str">
        <x:v>Before review</x:v>
      </x:c>
      <x:c r="C14" s="12" t="str">
        <x:v>official-verification: unknown
missing-mutation: unknown
missing-map: unknown
missing-encumbrance: unknown
review-BV01-D1: review
Forbidden prefixes: area-agrees-, owner-name-agrees, identifier-, owner-sequence, area-BV01</x:v>
      </x:c>
    </x:row>
    <x:row r="15" ht="129" customHeight="1">
      <x:c r="A15" s="12" t="str">
        <x:v>BV01</x:v>
      </x:c>
      <x:c r="B15" s="12" t="str">
        <x:v>After gold review</x:v>
      </x:c>
      <x:c r="C15" s="12" t="str">
        <x:v>official-verification: unknown
missing-mutation: unknown
missing-map: unknown
missing-encumbrance: unknown
area-agrees-: consistent
owner-name-agrees: consistent
Forbidden prefixes: review-, identifier-, owner-sequence, area-BV01</x:v>
      </x:c>
    </x:row>
    <x:row r="16" ht="30" customHeight="1">
      <x:c r="A16" s="32" t="str">
        <x:v>BV02</x:v>
      </x:c>
      <x:c r="B16" s="32" t="str">
        <x:v>Case</x:v>
      </x:c>
      <x:c r="C16" s="32" t="str">
        <x:v>Matching two-page PDF schedules (development; matching)</x:v>
      </x:c>
    </x:row>
    <x:row r="17" ht="44" customHeight="1">
      <x:c r="A17" s="12" t="str">
        <x:v>BV02</x:v>
      </x:c>
      <x:c r="B17" s="12" t="str">
        <x:v>Upload files</x:v>
      </x:c>
      <x:c r="C17" s="12" t="str">
        <x:v>BV02-01-sale-deed.pdf (sale_deed; en; clear)
BV02-02-jamabandi.pdf (jamabandi; en; clear)</x:v>
      </x:c>
    </x:row>
    <x:row r="18" ht="44" customHeight="1">
      <x:c r="A18" s="12" t="str">
        <x:v>BV02</x:v>
      </x:c>
      <x:c r="B18" s="12" t="str">
        <x:v>Case setup</x:v>
      </x:c>
      <x:c r="C18" s="12" t="str">
        <x:v>state: BR; district: Gaya; circle: Tikari; mauza: Udaan Demo Mauza; khata: 0027; khesra: 0119; seller: Neel Demo; purpose: purchase</x:v>
      </x:c>
    </x:row>
    <x:row r="19" ht="61" customHeight="1">
      <x:c r="A19" s="12" t="str">
        <x:v>BV02</x:v>
      </x:c>
      <x:c r="B19" s="12" t="str">
        <x:v>Expected behavior</x:v>
      </x:c>
      <x:c r="C19" s="12" t="str">
        <x:v>Read both pages of each file.
Cite page 2 for the schedule and page 1 for names and dates.
Do not treat a matching fictional record as proof of title.</x:v>
      </x:c>
    </x:row>
    <x:row r="20" ht="30" customHeight="1">
      <x:c r="A20" s="12" t="str">
        <x:v>BV02</x:v>
      </x:c>
      <x:c r="B20" s="12" t="str">
        <x:v>Assistant question</x:v>
      </x:c>
      <x:c r="C20" s="12" t="str">
        <x:v>Compare the parcel and area details and tell me which pages support them.</x:v>
      </x:c>
    </x:row>
    <x:row r="21" ht="61" customHeight="1">
      <x:c r="A21" s="12" t="str">
        <x:v>BV02</x:v>
      </x:c>
      <x:c r="B21" s="12" t="str">
        <x:v>Assistant must mention</x:v>
      </x:c>
      <x:c r="C21" s="12" t="str">
        <x:v>The property schedules are on page 2 of both files.
Both schedules record khata 0027, khesra 0119 and 900 sq ft.
The matching names and numbers are not official authentication.</x:v>
      </x:c>
    </x:row>
    <x:row r="22" ht="78" customHeight="1">
      <x:c r="A22" s="12" t="str">
        <x:v>BV02</x:v>
      </x:c>
      <x:c r="B22" s="12" t="str">
        <x:v>Must not claim</x:v>
      </x:c>
      <x:c r="C22" s="12" t="str">
        <x:v>Government records were checked.
Ownership or title is legally verified.
The property is safe to purchase.
A discrepancy proves fraud.</x:v>
      </x:c>
    </x:row>
    <x:row r="23" ht="112" customHeight="1">
      <x:c r="A23" s="12" t="str">
        <x:v>BV02</x:v>
      </x:c>
      <x:c r="B23" s="12" t="str">
        <x:v>Before review</x:v>
      </x:c>
      <x:c r="C23" s="12" t="str">
        <x:v>official-verification: unknown
missing-mutation: unknown
missing-map: unknown
missing-encumbrance: unknown
review-BV02-D1: review
Forbidden prefixes: area-agrees-, owner-name-agrees, identifier-, owner-sequence, area-BV02</x:v>
      </x:c>
    </x:row>
    <x:row r="24" ht="129" customHeight="1">
      <x:c r="A24" s="12" t="str">
        <x:v>BV02</x:v>
      </x:c>
      <x:c r="B24" s="12" t="str">
        <x:v>After gold review</x:v>
      </x:c>
      <x:c r="C24" s="12" t="str">
        <x:v>official-verification: unknown
missing-mutation: unknown
missing-map: unknown
missing-encumbrance: unknown
area-agrees-: consistent
owner-name-agrees: consistent
Forbidden prefixes: review-, identifier-, owner-sequence, area-BV02</x:v>
      </x:c>
    </x:row>
    <x:row r="25" ht="30" customHeight="1">
      <x:c r="A25" s="32" t="str">
        <x:v>BV03</x:v>
      </x:c>
      <x:c r="B25" s="32" t="str">
        <x:v>Case</x:v>
      </x:c>
      <x:c r="C25" s="32" t="str">
        <x:v>Equivalent supported units (holdout; matching)</x:v>
      </x:c>
    </x:row>
    <x:row r="26" ht="44" customHeight="1">
      <x:c r="A26" s="12" t="str">
        <x:v>BV03</x:v>
      </x:c>
      <x:c r="B26" s="12" t="str">
        <x:v>Upload files</x:v>
      </x:c>
      <x:c r="C26" s="12" t="str">
        <x:v>BV03-01-sale-deed.pdf (sale_deed; en; clear)
BV03-02-jamabandi.pdf (jamabandi; en; clear)</x:v>
      </x:c>
    </x:row>
    <x:row r="27" ht="44" customHeight="1">
      <x:c r="A27" s="12" t="str">
        <x:v>BV03</x:v>
      </x:c>
      <x:c r="B27" s="12" t="str">
        <x:v>Case setup</x:v>
      </x:c>
      <x:c r="C27" s="12" t="str">
        <x:v>state: BR; district: Nalanda; circle: Bihar Sharif; mauza: Prerna Demo Mauza; khata: 0063; khesra: 0284; seller: Kabir Demo; purpose: purchase</x:v>
      </x:c>
    </x:row>
    <x:row r="28" ht="61" customHeight="1">
      <x:c r="A28" s="12" t="str">
        <x:v>BV03</x:v>
      </x:c>
      <x:c r="B28" s="12" t="str">
        <x:v>Expected behavior</x:v>
      </x:c>
      <x:c r="C28" s="12" t="str">
        <x:v>Extract the original quantities and units; do not replace either source value with a conversion.
Let the deterministic supported-unit conversion establish numerical agreement after review.
Distinguish numerical area comparison from physical measurement.</x:v>
      </x:c>
    </x:row>
    <x:row r="29" ht="30" customHeight="1">
      <x:c r="A29" s="12" t="str">
        <x:v>BV03</x:v>
      </x:c>
      <x:c r="B29" s="12" t="str">
        <x:v>Assistant question</x:v>
      </x:c>
      <x:c r="C29" s="12" t="str">
        <x:v>The area numbers differ. Do these units explain the difference?</x:v>
      </x:c>
    </x:row>
    <x:row r="30" ht="61" customHeight="1">
      <x:c r="A30" s="12" t="str">
        <x:v>BV03</x:v>
      </x:c>
      <x:c r="B30" s="12" t="str">
        <x:v>Assistant must mention</x:v>
      </x:c>
      <x:c r="C30" s="12" t="str">
        <x:v>The source values are 0.25 acre and 25 decimal.
The supported conversion makes these areas equal.
A numerical match does not verify physical boundaries or legal title.</x:v>
      </x:c>
    </x:row>
    <x:row r="31" ht="95" customHeight="1">
      <x:c r="A31" s="12" t="str">
        <x:v>BV03</x:v>
      </x:c>
      <x:c r="B31" s="12" t="str">
        <x:v>Must not claim</x:v>
      </x:c>
      <x:c r="C31" s="12" t="str">
        <x:v>Government records were checked.
Ownership or title is legally verified.
The property is safe to purchase.
A discrepancy proves fraud.
Different raw area numbers alone prove an area discrepancy.</x:v>
      </x:c>
    </x:row>
    <x:row r="32" ht="112" customHeight="1">
      <x:c r="A32" s="12" t="str">
        <x:v>BV03</x:v>
      </x:c>
      <x:c r="B32" s="12" t="str">
        <x:v>Before review</x:v>
      </x:c>
      <x:c r="C32" s="12" t="str">
        <x:v>official-verification: unknown
missing-mutation: unknown
missing-map: unknown
missing-encumbrance: unknown
review-BV03-D1: review
Forbidden prefixes: area-agrees-, owner-name-agrees, identifier-, owner-sequence, area-BV03, unit-</x:v>
      </x:c>
    </x:row>
    <x:row r="33" ht="129" customHeight="1">
      <x:c r="A33" s="12" t="str">
        <x:v>BV03</x:v>
      </x:c>
      <x:c r="B33" s="12" t="str">
        <x:v>After gold review</x:v>
      </x:c>
      <x:c r="C33" s="12" t="str">
        <x:v>official-verification: unknown
missing-mutation: unknown
missing-map: unknown
missing-encumbrance: unknown
area-agrees-: consistent
owner-name-agrees: consistent
Forbidden prefixes: review-, identifier-, owner-sequence, area-BV03, unit-</x:v>
      </x:c>
    </x:row>
    <x:row r="34" ht="30" customHeight="1">
      <x:c r="A34" s="32" t="str">
        <x:v>BV04</x:v>
      </x:c>
      <x:c r="B34" s="32" t="str">
        <x:v>Case</x:v>
      </x:c>
      <x:c r="C34" s="32" t="str">
        <x:v>Different plot numbers (development; conflict)</x:v>
      </x:c>
    </x:row>
    <x:row r="35" ht="44" customHeight="1">
      <x:c r="A35" s="12" t="str">
        <x:v>BV04</x:v>
      </x:c>
      <x:c r="B35" s="12" t="str">
        <x:v>Upload files</x:v>
      </x:c>
      <x:c r="C35" s="12" t="str">
        <x:v>BV04-01-sale-deed.pdf (sale_deed; en; clear)
BV04-02-jamabandi.pdf (jamabandi; en; clear)</x:v>
      </x:c>
    </x:row>
    <x:row r="36" ht="44" customHeight="1">
      <x:c r="A36" s="12" t="str">
        <x:v>BV04</x:v>
      </x:c>
      <x:c r="B36" s="12" t="str">
        <x:v>Case setup</x:v>
      </x:c>
      <x:c r="C36" s="12" t="str">
        <x:v>state: BR; district: Muzaffarpur; circle: Mushahari; mauza: Savera Demo Mauza; khata: 0045; khesra: ; seller: Dev Demo; purpose: purchase</x:v>
      </x:c>
    </x:row>
    <x:row r="37" ht="61" customHeight="1">
      <x:c r="A37" s="12" t="str">
        <x:v>BV04</x:v>
      </x:c>
      <x:c r="B37" s="12" t="str">
        <x:v>Expected behavior</x:v>
      </x:c>
      <x:c r="C37" s="12" t="str">
        <x:v>Preserve 0712 and 0721 separately rather than harmonizing them.
The identifier discrepancy is review before manual review and attention afterward.
Do not compare area or owner as though same-parcel identity has been established.</x:v>
      </x:c>
    </x:row>
    <x:row r="38" ht="30" customHeight="1">
      <x:c r="A38" s="12" t="str">
        <x:v>BV04</x:v>
      </x:c>
      <x:c r="B38" s="12" t="str">
        <x:v>Assistant question</x:v>
      </x:c>
      <x:c r="C38" s="12" t="str">
        <x:v>Can these files be treated as evidence for the same plot?</x:v>
      </x:c>
    </x:row>
    <x:row r="39" ht="61" customHeight="1">
      <x:c r="A39" s="12" t="str">
        <x:v>BV04</x:v>
      </x:c>
      <x:c r="B39" s="12" t="str">
        <x:v>Assistant must mention</x:v>
      </x:c>
      <x:c r="C39" s="12" t="str">
        <x:v>The deed records khesra 0712 and the Jamabandi records 0721.
Matching location and khata do not resolve the different khesra numbers.
Check the original schedules and current official records; this is not proof of fraud.</x:v>
      </x:c>
    </x:row>
    <x:row r="40" ht="78" customHeight="1">
      <x:c r="A40" s="12" t="str">
        <x:v>BV04</x:v>
      </x:c>
      <x:c r="B40" s="12" t="str">
        <x:v>Must not claim</x:v>
      </x:c>
      <x:c r="C40" s="12" t="str">
        <x:v>Government records were checked.
Ownership or title is legally verified.
The property is safe to purchase.
A discrepancy proves fraud.</x:v>
      </x:c>
    </x:row>
    <x:row r="41" ht="146" customHeight="1">
      <x:c r="A41" s="12" t="str">
        <x:v>BV04</x:v>
      </x:c>
      <x:c r="B41" s="12" t="str">
        <x:v>Before review</x:v>
      </x:c>
      <x:c r="C41" s="12" t="str">
        <x:v>official-verification: unknown
missing-mutation: unknown
missing-map: unknown
missing-encumbrance: unknown
review-BV04-D1: review
identifier-khesra-: review
Forbidden prefixes: area-agrees-, owner-name-agrees, area-agrees-, area-BV04, owner-name-agrees, owner-sequence, case-reference-khesra-</x:v>
      </x:c>
    </x:row>
    <x:row r="42" ht="112" customHeight="1">
      <x:c r="A42" s="12" t="str">
        <x:v>BV04</x:v>
      </x:c>
      <x:c r="B42" s="12" t="str">
        <x:v>After gold review</x:v>
      </x:c>
      <x:c r="C42" s="12" t="str">
        <x:v>official-verification: unknown
missing-mutation: unknown
missing-map: unknown
missing-encumbrance: unknown
identifier-khesra-: attention
Forbidden prefixes: review-, area-agrees-, area-BV04, owner-name-agrees, owner-sequence, case-reference-khesra-</x:v>
      </x:c>
    </x:row>
    <x:row r="43" ht="30" customHeight="1">
      <x:c r="A43" s="32" t="str">
        <x:v>BV05</x:v>
      </x:c>
      <x:c r="B43" s="32" t="str">
        <x:v>Case</x:v>
      </x:c>
      <x:c r="C43" s="32" t="str">
        <x:v>Different recorded areas (development; conflict)</x:v>
      </x:c>
    </x:row>
    <x:row r="44" ht="44" customHeight="1">
      <x:c r="A44" s="12" t="str">
        <x:v>BV05</x:v>
      </x:c>
      <x:c r="B44" s="12" t="str">
        <x:v>Upload files</x:v>
      </x:c>
      <x:c r="C44" s="12" t="str">
        <x:v>BV05-01-sale-deed.pdf (sale_deed; en; clear)
BV05-02-jamabandi.pdf (jamabandi; en; clear)</x:v>
      </x:c>
    </x:row>
    <x:row r="45" ht="44" customHeight="1">
      <x:c r="A45" s="12" t="str">
        <x:v>BV05</x:v>
      </x:c>
      <x:c r="B45" s="12" t="str">
        <x:v>Case setup</x:v>
      </x:c>
      <x:c r="C45" s="12" t="str">
        <x:v>state: BR; district: Darbhanga; circle: Bahadurpur; mauza: Nirmal Demo Mauza; khata: 0086; khesra: 0325; seller: Arun Demo; purpose: purchase</x:v>
      </x:c>
    </x:row>
    <x:row r="46" ht="61" customHeight="1">
      <x:c r="A46" s="12" t="str">
        <x:v>BV05</x:v>
      </x:c>
      <x:c r="B46" s="12" t="str">
        <x:v>Expected behavior</x:v>
      </x:c>
      <x:c r="C46" s="12" t="str">
        <x:v>Preserve each area exactly.
Flag recorded-area difference for review, not automatically fraud.
Do not assume that the deed transfers the complete holding.</x:v>
      </x:c>
    </x:row>
    <x:row r="47" ht="30" customHeight="1">
      <x:c r="A47" s="12" t="str">
        <x:v>BV05</x:v>
      </x:c>
      <x:c r="B47" s="12" t="str">
        <x:v>Assistant question</x:v>
      </x:c>
      <x:c r="C47" s="12" t="str">
        <x:v>Why do these area entries need follow-up?</x:v>
      </x:c>
    </x:row>
    <x:row r="48" ht="61" customHeight="1">
      <x:c r="A48" s="12" t="str">
        <x:v>BV05</x:v>
      </x:c>
      <x:c r="B48" s="12" t="str">
        <x:v>Assistant must mention</x:v>
      </x:c>
      <x:c r="C48" s="12" t="str">
        <x:v>The deed states 12 decimal and the Jamabandi states 15 decimal.
A transferred share or survey difference could explain the mismatch and needs evidence.
Do not infer an unrecorded share or conclude fraud.</x:v>
      </x:c>
    </x:row>
    <x:row r="49" ht="78" customHeight="1">
      <x:c r="A49" s="12" t="str">
        <x:v>BV05</x:v>
      </x:c>
      <x:c r="B49" s="12" t="str">
        <x:v>Must not claim</x:v>
      </x:c>
      <x:c r="C49" s="12" t="str">
        <x:v>Government records were checked.
Ownership or title is legally verified.
The property is safe to purchase.
A discrepancy proves fraud.</x:v>
      </x:c>
    </x:row>
    <x:row r="50" ht="129" customHeight="1">
      <x:c r="A50" s="12" t="str">
        <x:v>BV05</x:v>
      </x:c>
      <x:c r="B50" s="12" t="str">
        <x:v>Before review</x:v>
      </x:c>
      <x:c r="C50" s="12" t="str">
        <x:v>official-verification: unknown
missing-mutation: unknown
missing-map: unknown
missing-encumbrance: unknown
review-BV05-D1: review
area-BV05-D1-BV05-D2: review
Forbidden prefixes: area-agrees-, owner-name-agrees, identifier-, owner-sequence, area-agrees-</x:v>
      </x:c>
    </x:row>
    <x:row r="51" ht="129" customHeight="1">
      <x:c r="A51" s="12" t="str">
        <x:v>BV05</x:v>
      </x:c>
      <x:c r="B51" s="12" t="str">
        <x:v>After gold review</x:v>
      </x:c>
      <x:c r="C51" s="12" t="str">
        <x:v>official-verification: unknown
missing-mutation: unknown
missing-map: unknown
missing-encumbrance: unknown
area-BV05-D1-BV05-D2: review
owner-name-agrees: consistent
Forbidden prefixes: review-, identifier-, owner-sequence, area-agrees-</x:v>
      </x:c>
    </x:row>
    <x:row r="52" ht="30" customHeight="1">
      <x:c r="A52" s="32" t="str">
        <x:v>BV06</x:v>
      </x:c>
      <x:c r="B52" s="32" t="str">
        <x:v>Case</x:v>
      </x:c>
      <x:c r="C52" s="32" t="str">
        <x:v>Later record names a different owner (holdout; conflict)</x:v>
      </x:c>
    </x:row>
    <x:row r="53" ht="44" customHeight="1">
      <x:c r="A53" s="12" t="str">
        <x:v>BV06</x:v>
      </x:c>
      <x:c r="B53" s="12" t="str">
        <x:v>Upload files</x:v>
      </x:c>
      <x:c r="C53" s="12" t="str">
        <x:v>BV06-01-sale-deed.pdf (sale_deed; en; clear)
BV06-02-jamabandi.pdf (jamabandi; en; clear)</x:v>
      </x:c>
    </x:row>
    <x:row r="54" ht="44" customHeight="1">
      <x:c r="A54" s="12" t="str">
        <x:v>BV06</x:v>
      </x:c>
      <x:c r="B54" s="12" t="str">
        <x:v>Case setup</x:v>
      </x:c>
      <x:c r="C54" s="12" t="str">
        <x:v>state: BR; district: Bhagalpur; circle: Jagdishpur; mauza: Navrang Demo Mauza; khata: 0039; khesra: 0187; seller: Mohan Demo; purpose: purchase</x:v>
      </x:c>
    </x:row>
    <x:row r="55" ht="61" customHeight="1">
      <x:c r="A55" s="12" t="str">
        <x:v>BV06</x:v>
      </x:c>
      <x:c r="B55" s="12" t="str">
        <x:v>Expected behavior</x:v>
      </x:c>
      <x:c r="C55" s="12" t="str">
        <x:v>Keep buyer Isha Demo separate from recorded owner Karan Demo.
Recognize the Jamabandi is later, not historical relative to this deed.
The reviewed owner-sequence rule needs attention, but cannot establish fraud or the correct legal owner.</x:v>
      </x:c>
    </x:row>
    <x:row r="56" ht="30" customHeight="1">
      <x:c r="A56" s="12" t="str">
        <x:v>BV06</x:v>
      </x:c>
      <x:c r="B56" s="12" t="str">
        <x:v>Assistant question</x:v>
      </x:c>
      <x:c r="C56" s="12" t="str">
        <x:v>Does the date sequence explain why the owner names differ?</x:v>
      </x:c>
    </x:row>
    <x:row r="57" ht="61" customHeight="1">
      <x:c r="A57" s="12" t="str">
        <x:v>BV06</x:v>
      </x:c>
      <x:c r="B57" s="12" t="str">
        <x:v>Assistant must mention</x:v>
      </x:c>
      <x:c r="C57" s="12" t="str">
        <x:v>The deed dated 2025-10-16 names Isha Demo as buyer.
The later Jamabandi dated 2026-06-20 names Karan Demo.
These files do not supply a complete transfer chain or pending mutation explanation.</x:v>
      </x:c>
    </x:row>
    <x:row r="58" ht="112" customHeight="1">
      <x:c r="A58" s="12" t="str">
        <x:v>BV06</x:v>
      </x:c>
      <x:c r="B58" s="12" t="str">
        <x:v>Must not claim</x:v>
      </x:c>
      <x:c r="C58" s="12" t="str">
        <x:v>Government records were checked.
Ownership or title is legally verified.
The property is safe to purchase.
A discrepancy proves fraud.
The Jamabandi predates the deed.
A pending mutation is documented in this set.</x:v>
      </x:c>
    </x:row>
    <x:row r="59" ht="129" customHeight="1">
      <x:c r="A59" s="12" t="str">
        <x:v>BV06</x:v>
      </x:c>
      <x:c r="B59" s="12" t="str">
        <x:v>Before review</x:v>
      </x:c>
      <x:c r="C59" s="12" t="str">
        <x:v>official-verification: unknown
missing-mutation: unknown
missing-map: unknown
missing-encumbrance: unknown
review-BV06-D1: review
owner-sequence: review
Forbidden prefixes: area-agrees-, owner-name-agrees, identifier-, owner-name-agrees, area-BV06, mutation-pending-</x:v>
      </x:c>
    </x:row>
    <x:row r="60" ht="129" customHeight="1">
      <x:c r="A60" s="12" t="str">
        <x:v>BV06</x:v>
      </x:c>
      <x:c r="B60" s="12" t="str">
        <x:v>After gold review</x:v>
      </x:c>
      <x:c r="C60" s="12" t="str">
        <x:v>official-verification: unknown
missing-mutation: unknown
missing-map: unknown
missing-encumbrance: unknown
owner-sequence: attention
area-agrees-: consistent
Forbidden prefixes: review-, identifier-, owner-name-agrees, area-BV06, mutation-pending-</x:v>
      </x:c>
    </x:row>
    <x:row r="61" ht="30" customHeight="1">
      <x:c r="A61" s="32" t="str">
        <x:v>BV07</x:v>
      </x:c>
      <x:c r="B61" s="32" t="str">
        <x:v>Case</x:v>
      </x:c>
      <x:c r="C61" s="32" t="str">
        <x:v>Area unit absent from the deed (development; missing)</x:v>
      </x:c>
    </x:row>
    <x:row r="62" ht="44" customHeight="1">
      <x:c r="A62" s="12" t="str">
        <x:v>BV07</x:v>
      </x:c>
      <x:c r="B62" s="12" t="str">
        <x:v>Upload files</x:v>
      </x:c>
      <x:c r="C62" s="12" t="str">
        <x:v>BV07-01-sale-deed.pdf (sale_deed; en; clear)
BV07-02-jamabandi.pdf (jamabandi; en; clear)</x:v>
      </x:c>
    </x:row>
    <x:row r="63" ht="44" customHeight="1">
      <x:c r="A63" s="12" t="str">
        <x:v>BV07</x:v>
      </x:c>
      <x:c r="B63" s="12" t="str">
        <x:v>Case setup</x:v>
      </x:c>
      <x:c r="C63" s="12" t="str">
        <x:v>state: BR; district: Purnia; circle: Purnia East; mauza: Aangan Demo Mauza; khata: 0058; khesra: 0236; seller: Suman Demo; purpose: purchase</x:v>
      </x:c>
    </x:row>
    <x:row r="64" ht="61" customHeight="1">
      <x:c r="A64" s="12" t="str">
        <x:v>BV07</x:v>
      </x:c>
      <x:c r="B64" s="12" t="str">
        <x:v>Expected behavior</x:v>
      </x:c>
      <x:c r="C64" s="12" t="str">
        <x:v>Omit areaUnit from the deed extraction.
Do not borrow decimal from the Jamabandi or infer a local default.
Keep area comparison unresolved until the deed unit is supported.</x:v>
      </x:c>
    </x:row>
    <x:row r="65" ht="30" customHeight="1">
      <x:c r="A65" s="12" t="str">
        <x:v>BV07</x:v>
      </x:c>
      <x:c r="B65" s="12" t="str">
        <x:v>Assistant question</x:v>
      </x:c>
      <x:c r="C65" s="12" t="str">
        <x:v>Both files say 11. Can I treat the areas as equal?</x:v>
      </x:c>
    </x:row>
    <x:row r="66" ht="61" customHeight="1">
      <x:c r="A66" s="12" t="str">
        <x:v>BV07</x:v>
      </x:c>
      <x:c r="B66" s="12" t="str">
        <x:v>Assistant must mention</x:v>
      </x:c>
      <x:c r="C66" s="12" t="str">
        <x:v>The deed states 11 but supplies no area unit.
The Jamabandi states 11 decimal.
Equal quantities without supported units do not establish equal areas.</x:v>
      </x:c>
    </x:row>
    <x:row r="67" ht="95" customHeight="1">
      <x:c r="A67" s="12" t="str">
        <x:v>BV07</x:v>
      </x:c>
      <x:c r="B67" s="12" t="str">
        <x:v>Must not claim</x:v>
      </x:c>
      <x:c r="C67" s="12" t="str">
        <x:v>Government records were checked.
Ownership or title is legally verified.
The property is safe to purchase.
A discrepancy proves fraud.
The deed states its area is 11 decimal.</x:v>
      </x:c>
    </x:row>
    <x:row r="68" ht="129" customHeight="1">
      <x:c r="A68" s="12" t="str">
        <x:v>BV07</x:v>
      </x:c>
      <x:c r="B68" s="12" t="str">
        <x:v>Before review</x:v>
      </x:c>
      <x:c r="C68" s="12" t="str">
        <x:v>official-verification: unknown
missing-mutation: unknown
missing-map: unknown
missing-encumbrance: unknown
review-BV07-D1: review
unit-BV07-D1: unknown
Forbidden prefixes: area-agrees-, owner-name-agrees, identifier-, owner-sequence, area-agrees-, area-BV07</x:v>
      </x:c>
    </x:row>
    <x:row r="69" ht="129" customHeight="1">
      <x:c r="A69" s="12" t="str">
        <x:v>BV07</x:v>
      </x:c>
      <x:c r="B69" s="12" t="str">
        <x:v>After gold review</x:v>
      </x:c>
      <x:c r="C69" s="12" t="str">
        <x:v>official-verification: unknown
missing-mutation: unknown
missing-map: unknown
missing-encumbrance: unknown
unit-BV07-D1: unknown
owner-name-agrees: consistent
Forbidden prefixes: review-, identifier-, owner-sequence, area-agrees-, area-BV07</x:v>
      </x:c>
    </x:row>
    <x:row r="70" ht="30" customHeight="1">
      <x:c r="A70" s="32" t="str">
        <x:v>BV08</x:v>
      </x:c>
      <x:c r="B70" s="32" t="str">
        <x:v>Case</x:v>
      </x:c>
      <x:c r="C70" s="32" t="str">
        <x:v>Buyer and recorded owner absent (development; missing)</x:v>
      </x:c>
    </x:row>
    <x:row r="71" ht="44" customHeight="1">
      <x:c r="A71" s="12" t="str">
        <x:v>BV08</x:v>
      </x:c>
      <x:c r="B71" s="12" t="str">
        <x:v>Upload files</x:v>
      </x:c>
      <x:c r="C71" s="12" t="str">
        <x:v>BV08-01-sale-deed.pdf (sale_deed; en; clear)
BV08-02-jamabandi.pdf (jamabandi; en; clear)</x:v>
      </x:c>
    </x:row>
    <x:row r="72" ht="44" customHeight="1">
      <x:c r="A72" s="12" t="str">
        <x:v>BV08</x:v>
      </x:c>
      <x:c r="B72" s="12" t="str">
        <x:v>Case setup</x:v>
      </x:c>
      <x:c r="C72" s="12" t="str">
        <x:v>state: BR; district: Begusarai; circle: Begusarai; mauza: Sankalp Demo Mauza; khata: 0074; khesra: 0358; seller: Renu Demo; purpose: purchase</x:v>
      </x:c>
    </x:row>
    <x:row r="73" ht="61" customHeight="1">
      <x:c r="A73" s="12" t="str">
        <x:v>BV08</x:v>
      </x:c>
      <x:c r="B73" s="12" t="str">
        <x:v>Expected behavior</x:v>
      </x:c>
      <x:c r="C73" s="12" t="str">
        <x:v>Omit buyer from the deed and owner from the Jamabandi.
Do not promote the seller into buyer or owner.
Report missing content and unresolved owner comparison, even when areas agree.</x:v>
      </x:c>
    </x:row>
    <x:row r="74" ht="30" customHeight="1">
      <x:c r="A74" s="12" t="str">
        <x:v>BV08</x:v>
      </x:c>
      <x:c r="B74" s="12" t="str">
        <x:v>Assistant question</x:v>
      </x:c>
      <x:c r="C74" s="12" t="str">
        <x:v>Who owns the land according to these uploaded excerpts?</x:v>
      </x:c>
    </x:row>
    <x:row r="75" ht="61" customHeight="1">
      <x:c r="A75" s="12" t="str">
        <x:v>BV08</x:v>
      </x:c>
      <x:c r="B75" s="12" t="str">
        <x:v>Assistant must mention</x:v>
      </x:c>
      <x:c r="C75" s="12" t="str">
        <x:v>The deed buyer is absent and the Jamabandi recorded owner is absent.
Renu Demo is labelled only as seller in the deed.
The excerpts cannot support an owner-name comparison or legal ownership conclusion.</x:v>
      </x:c>
    </x:row>
    <x:row r="76" ht="95" customHeight="1">
      <x:c r="A76" s="12" t="str">
        <x:v>BV08</x:v>
      </x:c>
      <x:c r="B76" s="12" t="str">
        <x:v>Must not claim</x:v>
      </x:c>
      <x:c r="C76" s="12" t="str">
        <x:v>Government records were checked.
Ownership or title is legally verified.
The property is safe to purchase.
A discrepancy proves fraud.
Renu Demo is named as the buyer or recorded owner.</x:v>
      </x:c>
    </x:row>
    <x:row r="77" ht="163" customHeight="1">
      <x:c r="A77" s="12" t="str">
        <x:v>BV08</x:v>
      </x:c>
      <x:c r="B77" s="12" t="str">
        <x:v>Before review</x:v>
      </x:c>
      <x:c r="C77" s="12" t="str">
        <x:v>official-verification: unknown
missing-mutation: unknown
missing-map: unknown
missing-encumbrance: unknown
review-BV08-D1: review
content-BV08-D1: unknown
content-BV08-D2: unknown
owner-missing: unknown
Forbidden prefixes: area-agrees-, owner-name-agrees, identifier-, owner-sequence, owner-name-agrees, area-BV08</x:v>
      </x:c>
    </x:row>
    <x:row r="78" ht="163" customHeight="1">
      <x:c r="A78" s="12" t="str">
        <x:v>BV08</x:v>
      </x:c>
      <x:c r="B78" s="12" t="str">
        <x:v>After gold review</x:v>
      </x:c>
      <x:c r="C78" s="12" t="str">
        <x:v>official-verification: unknown
missing-mutation: unknown
missing-map: unknown
missing-encumbrance: unknown
content-BV08-D1: unknown
content-BV08-D2: unknown
owner-missing: unknown
area-agrees-: consistent
Forbidden prefixes: review-, identifier-, owner-sequence, owner-name-agrees, area-BV08</x:v>
      </x:c>
    </x:row>
    <x:row r="79" ht="30" customHeight="1">
      <x:c r="A79" s="32" t="str">
        <x:v>BV09</x:v>
      </x:c>
      <x:c r="B79" s="32" t="str">
        <x:v>Case</x:v>
      </x:c>
      <x:c r="C79" s="32" t="str">
        <x:v>No Jamabandi supplied (holdout; missing)</x:v>
      </x:c>
    </x:row>
    <x:row r="80" ht="30" customHeight="1">
      <x:c r="A80" s="12" t="str">
        <x:v>BV09</x:v>
      </x:c>
      <x:c r="B80" s="12" t="str">
        <x:v>Upload files</x:v>
      </x:c>
      <x:c r="C80" s="12" t="str">
        <x:v>BV09-01-sale-deed.pdf (sale_deed; en; clear)</x:v>
      </x:c>
    </x:row>
    <x:row r="81" ht="44" customHeight="1">
      <x:c r="A81" s="12" t="str">
        <x:v>BV09</x:v>
      </x:c>
      <x:c r="B81" s="12" t="str">
        <x:v>Case setup</x:v>
      </x:c>
      <x:c r="C81" s="12" t="str">
        <x:v>state: BR; district: Samastipur; circle: Samastipur; mauza: Ujjwal Demo Mauza; khata: 0092; khesra: 0416; seller: Pankaj Demo; purpose: purchase</x:v>
      </x:c>
    </x:row>
    <x:row r="82" ht="61" customHeight="1">
      <x:c r="A82" s="12" t="str">
        <x:v>BV09</x:v>
      </x:c>
      <x:c r="B82" s="12" t="str">
        <x:v>Expected behavior</x:v>
      </x:c>
      <x:c r="C82" s="12" t="str">
        <x:v>Extract only the uploaded deed.
Report the missing Jamabandi and other checklist evidence.
Do not invent a current recorded owner or a cross-document agreement.</x:v>
      </x:c>
    </x:row>
    <x:row r="83" ht="30" customHeight="1">
      <x:c r="A83" s="12" t="str">
        <x:v>BV09</x:v>
      </x:c>
      <x:c r="B83" s="12" t="str">
        <x:v>Assistant question</x:v>
      </x:c>
      <x:c r="C83" s="12" t="str">
        <x:v>Is the deed alone enough for BhuVerify to confirm the current owner?</x:v>
      </x:c>
    </x:row>
    <x:row r="84" ht="61" customHeight="1">
      <x:c r="A84" s="12" t="str">
        <x:v>BV09</x:v>
      </x:c>
      <x:c r="B84" s="12" t="str">
        <x:v>Assistant must mention</x:v>
      </x:c>
      <x:c r="C84" s="12" t="str">
        <x:v>Only a sale-deed excerpt was supplied.
No Jamabandi is available for a recorded-owner comparison.
The deed names Leela Demo as buyer, but does not establish current verified ownership.</x:v>
      </x:c>
    </x:row>
    <x:row r="85" ht="95" customHeight="1">
      <x:c r="A85" s="12" t="str">
        <x:v>BV09</x:v>
      </x:c>
      <x:c r="B85" s="12" t="str">
        <x:v>Must not claim</x:v>
      </x:c>
      <x:c r="C85" s="12" t="str">
        <x:v>Government records were checked.
Ownership or title is legally verified.
The property is safe to purchase.
A discrepancy proves fraud.
A Jamabandi was uploaded or checked.</x:v>
      </x:c>
    </x:row>
    <x:row r="86" ht="129" customHeight="1">
      <x:c r="A86" s="12" t="str">
        <x:v>BV09</x:v>
      </x:c>
      <x:c r="B86" s="12" t="str">
        <x:v>Before review</x:v>
      </x:c>
      <x:c r="C86" s="12" t="str">
        <x:v>official-verification: unknown
missing-jamabandi: unknown
missing-mutation: unknown
missing-map: unknown
missing-encumbrance: unknown
review-BV09-D1: review
Forbidden prefixes: area-agrees-, owner-name-agrees, owner-name-agrees, owner-sequence, area-agrees-, identifier-</x:v>
      </x:c>
    </x:row>
    <x:row r="87" ht="112" customHeight="1">
      <x:c r="A87" s="12" t="str">
        <x:v>BV09</x:v>
      </x:c>
      <x:c r="B87" s="12" t="str">
        <x:v>After gold review</x:v>
      </x:c>
      <x:c r="C87" s="12" t="str">
        <x:v>official-verification: unknown
missing-jamabandi: unknown
missing-mutation: unknown
missing-map: unknown
missing-encumbrance: unknown
Forbidden prefixes: review-, owner-name-agrees, owner-sequence, area-agrees-, identifier-</x:v>
      </x:c>
    </x:row>
    <x:row r="88" ht="30" customHeight="1">
      <x:c r="A88" s="32" t="str">
        <x:v>BV10</x:v>
      </x:c>
      <x:c r="B88" s="32" t="str">
        <x:v>Case</x:v>
      </x:c>
      <x:c r="C88" s="32" t="str">
        <x:v>Hindi with leading-zero identifiers (development; language)</x:v>
      </x:c>
    </x:row>
    <x:row r="89" ht="44" customHeight="1">
      <x:c r="A89" s="12" t="str">
        <x:v>BV10</x:v>
      </x:c>
      <x:c r="B89" s="12" t="str">
        <x:v>Upload files</x:v>
      </x:c>
      <x:c r="C89" s="12" t="str">
        <x:v>BV10-01-sale-deed.pdf (sale_deed; hi; clear)
BV10-02-jamabandi.pdf (jamabandi; hi; clear)</x:v>
      </x:c>
    </x:row>
    <x:row r="90" ht="44" customHeight="1">
      <x:c r="A90" s="12" t="str">
        <x:v>BV10</x:v>
      </x:c>
      <x:c r="B90" s="12" t="str">
        <x:v>Case setup</x:v>
      </x:c>
      <x:c r="C90" s="12" t="str">
        <x:v>state: BR; district: Patna; circle: दानापुर; mauza: कल्पतरु डेमो मौजा; khata: ००७२; khesra: ००१४; seller: आशा डेमो; purpose: purchase</x:v>
      </x:c>
    </x:row>
    <x:row r="91" ht="95" customHeight="1">
      <x:c r="A91" s="12" t="str">
        <x:v>BV10</x:v>
      </x:c>
      <x:c r="B91" s="12" t="str">
        <x:v>Expected behavior</x:v>
      </x:c>
      <x:c r="C91" s="12" t="str">
        <x:v>Preserve the original Devanagari digits and leading zeros in each extraction.
Do not transliterate names or locations in source field values.
The comparison rules normalize digits and leading zeros without rewriting the source evidence.
The UI district selector uses English while these source districts are Hindi. Existing raw-text comparison emits case-location review; this is an application transliteration limitation, not a Gemini extraction error.</x:v>
      </x:c>
    </x:row>
    <x:row r="92" ht="30" customHeight="1">
      <x:c r="A92" s="12" t="str">
        <x:v>BV10</x:v>
      </x:c>
      <x:c r="B92" s="12" t="str">
        <x:v>Assistant question</x:v>
      </x:c>
      <x:c r="C92" s="12" t="str">
        <x:v>इन काल्पनिक अभिलेखों में खाता और खेसरा के आगे लगे शून्य क्या अंतर बताते हैं?</x:v>
      </x:c>
    </x:row>
    <x:row r="93" ht="61" customHeight="1">
      <x:c r="A93" s="12" t="str">
        <x:v>BV10</x:v>
      </x:c>
      <x:c r="B93" s="12" t="str">
        <x:v>Assistant must mention</x:v>
      </x:c>
      <x:c r="C93" s="12" t="str">
        <x:v>खाता ००७२ और ७२ तथा खेसरा ००१४ और १४ संख्यात्मक रूप से समान हैं।
दोनों में विवेक डेमो और ९ डिसमिल लिखा है।
पाठ का मेल आधिकारिक स्वामित्व सत्यापन नहीं है।</x:v>
      </x:c>
    </x:row>
    <x:row r="94" ht="95" customHeight="1">
      <x:c r="A94" s="12" t="str">
        <x:v>BV10</x:v>
      </x:c>
      <x:c r="B94" s="12" t="str">
        <x:v>Must not claim</x:v>
      </x:c>
      <x:c r="C94" s="12" t="str">
        <x:v>Government records were checked.
Ownership or title is legally verified.
The property is safe to purchase.
A discrepancy proves fraud.
Leading zeros alone establish different plots.</x:v>
      </x:c>
    </x:row>
    <x:row r="95" ht="163" customHeight="1">
      <x:c r="A95" s="12" t="str">
        <x:v>BV10</x:v>
      </x:c>
      <x:c r="B95" s="12" t="str">
        <x:v>Before review</x:v>
      </x:c>
      <x:c r="C95" s="12" t="str">
        <x:v>official-verification: unknown
missing-mutation: unknown
missing-map: unknown
missing-encumbrance: unknown
review-BV10-D1: review
case-location-BV10-D1: review
case-location-BV10-D2: review
Forbidden prefixes: area-agrees-, owner-name-agrees, identifier-, owner-sequence, geography-, case-reference-, area-BV10, unit-</x:v>
      </x:c>
    </x:row>
    <x:row r="96" ht="163" customHeight="1">
      <x:c r="A96" s="12" t="str">
        <x:v>BV10</x:v>
      </x:c>
      <x:c r="B96" s="12" t="str">
        <x:v>After gold review</x:v>
      </x:c>
      <x:c r="C96" s="12" t="str">
        <x:v>official-verification: unknown
missing-mutation: unknown
missing-map: unknown
missing-encumbrance: unknown
area-agrees-: consistent
owner-name-agrees: consistent
case-location-BV10-D1: review
case-location-BV10-D2: review
Forbidden prefixes: review-, identifier-, owner-sequence, geography-, case-reference-, area-BV10, unit-</x:v>
      </x:c>
    </x:row>
    <x:row r="97" ht="30" customHeight="1">
      <x:c r="A97" s="32" t="str">
        <x:v>BV11</x:v>
      </x:c>
      <x:c r="B97" s="32" t="str">
        <x:v>Case</x:v>
      </x:c>
      <x:c r="C97" s="32" t="str">
        <x:v>Hindi katha without a conversion factor (development; language)</x:v>
      </x:c>
    </x:row>
    <x:row r="98" ht="44" customHeight="1">
      <x:c r="A98" s="12" t="str">
        <x:v>BV11</x:v>
      </x:c>
      <x:c r="B98" s="12" t="str">
        <x:v>Upload files</x:v>
      </x:c>
      <x:c r="C98" s="12" t="str">
        <x:v>BV11-01-sale-deed.png (sale_deed; hi; clear)
BV11-02-jamabandi.png (jamabandi; hi; clear)</x:v>
      </x:c>
    </x:row>
    <x:row r="99" ht="44" customHeight="1">
      <x:c r="A99" s="12" t="str">
        <x:v>BV11</x:v>
      </x:c>
      <x:c r="B99" s="12" t="str">
        <x:v>Case setup</x:v>
      </x:c>
      <x:c r="C99" s="12" t="str">
        <x:v>state: BR; district: Gaya; circle: टिकारी; mauza: नवदीप डेमो मौजा; khata: ००८१; khesra: ०२४९; seller: किरण डेमो; purpose: purchase</x:v>
      </x:c>
    </x:row>
    <x:row r="100" ht="95" customHeight="1">
      <x:c r="A100" s="12" t="str">
        <x:v>BV11</x:v>
      </x:c>
      <x:c r="B100" s="12" t="str">
        <x:v>Expected behavior</x:v>
      </x:c>
      <x:c r="C100" s="12" t="str">
        <x:v>Extract २ and कट्ठा as separate original fields.
Do not invent a square-foot, square-metre or decimal conversion.
The current rules emit unit warnings, not a normalized area-agreement finding.
The UI district selector uses English while these source districts are Hindi. Existing raw-text comparison emits case-location review; this is an application transliteration limitation, not a Gemini extraction error.</x:v>
      </x:c>
    </x:row>
    <x:row r="101" ht="30" customHeight="1">
      <x:c r="A101" s="12" t="str">
        <x:v>BV11</x:v>
      </x:c>
      <x:c r="B101" s="12" t="str">
        <x:v>Assistant question</x:v>
      </x:c>
      <x:c r="C101" s="12" t="str">
        <x:v>२ कट्ठा को वर्ग मीटर में बदलकर क्या इन दस्तावेजों का रकबा सत्यापित कर सकते हैं?</x:v>
      </x:c>
    </x:row>
    <x:row r="102" ht="61" customHeight="1">
      <x:c r="A102" s="12" t="str">
        <x:v>BV11</x:v>
      </x:c>
      <x:c r="B102" s="12" t="str">
        <x:v>Assistant must mention</x:v>
      </x:c>
      <x:c r="C102" s="12" t="str">
        <x:v>दोनों स्रोतों में २ कट्ठा लिखा है।
स्थानीय माप का प्रमाणित रूपांतरण उपलब्ध नहीं है।
BhuVerify कट्ठा का स्वतः रूपांतरण नहीं करता; सक्षम प्राधिकारी से मानक चाहिए।</x:v>
      </x:c>
    </x:row>
    <x:row r="103" ht="95" customHeight="1">
      <x:c r="A103" s="12" t="str">
        <x:v>BV11</x:v>
      </x:c>
      <x:c r="B103" s="12" t="str">
        <x:v>Must not claim</x:v>
      </x:c>
      <x:c r="C103" s="12" t="str">
        <x:v>Government records were checked.
Ownership or title is legally verified.
The property is safe to purchase.
A discrepancy proves fraud.
A specific conversion factor for katha is established by these files.</x:v>
      </x:c>
    </x:row>
    <x:row r="104" ht="180" customHeight="1">
      <x:c r="A104" s="12" t="str">
        <x:v>BV11</x:v>
      </x:c>
      <x:c r="B104" s="12" t="str">
        <x:v>Before review</x:v>
      </x:c>
      <x:c r="C104" s="12" t="str">
        <x:v>official-verification: unknown
missing-mutation: unknown
missing-map: unknown
missing-encumbrance: unknown
review-BV11-D1: review
unit-BV11-D1: unknown
unit-BV11-D2: unknown
case-location-BV11-D1: review
case-location-BV11-D2: review
Forbidden prefixes: area-agrees-, owner-name-agrees, identifier-, owner-sequence, area-agrees-, area-BV11</x:v>
      </x:c>
    </x:row>
    <x:row r="105" ht="180" customHeight="1">
      <x:c r="A105" s="12" t="str">
        <x:v>BV11</x:v>
      </x:c>
      <x:c r="B105" s="12" t="str">
        <x:v>After gold review</x:v>
      </x:c>
      <x:c r="C105" s="12" t="str">
        <x:v>official-verification: unknown
missing-mutation: unknown
missing-map: unknown
missing-encumbrance: unknown
unit-BV11-D1: unknown
unit-BV11-D2: unknown
owner-name-agrees: consistent
case-location-BV11-D1: review
case-location-BV11-D2: review
Forbidden prefixes: review-, identifier-, owner-sequence, area-agrees-, area-BV11</x:v>
      </x:c>
    </x:row>
    <x:row r="106" ht="30" customHeight="1">
      <x:c r="A106" s="32" t="str">
        <x:v>BV12</x:v>
      </x:c>
      <x:c r="B106" s="32" t="str">
        <x:v>Case</x:v>
      </x:c>
      <x:c r="C106" s="32" t="str">
        <x:v>Mixed-language historical owner and pending mutation (holdout; language)</x:v>
      </x:c>
    </x:row>
    <x:row r="107" ht="61" customHeight="1">
      <x:c r="A107" s="12" t="str">
        <x:v>BV12</x:v>
      </x:c>
      <x:c r="B107" s="12" t="str">
        <x:v>Upload files</x:v>
      </x:c>
      <x:c r="C107" s="12" t="str">
        <x:v>BV12-01-sale-deed.pdf (sale_deed; mixed; clear)
BV12-02-jamabandi.pdf (jamabandi; mixed; clear)
BV12-03-mutation.pdf (mutation; mixed; clear)</x:v>
      </x:c>
    </x:row>
    <x:row r="108" ht="44" customHeight="1">
      <x:c r="A108" s="12" t="str">
        <x:v>BV12</x:v>
      </x:c>
      <x:c r="B108" s="12" t="str">
        <x:v>Case setup</x:v>
      </x:c>
      <x:c r="C108" s="12" t="str">
        <x:v>state: BR; district: Vaishali; circle: Hajipur; mauza: Srijan Demo Mauza; khata: 0056; khesra: 0308; seller: Raghav Demo; purpose: purchase</x:v>
      </x:c>
    </x:row>
    <x:row r="109" ht="61" customHeight="1">
      <x:c r="A109" s="12" t="str">
        <x:v>BV12</x:v>
      </x:c>
      <x:c r="B109" s="12" t="str">
        <x:v>Expected behavior</x:v>
      </x:c>
      <x:c r="C109" s="12" t="str">
        <x:v>Keep the Jamabandi owner as Raghav Demo rather than replacing it with Meera Demo.
Recognize the Jamabandi date precedes the purchase and the acknowledgement says pending.
Acknowledge both chronology and pending status; do not claim completed mutation or current live status.</x:v>
      </x:c>
    </x:row>
    <x:row r="110" ht="30" customHeight="1">
      <x:c r="A110" s="12" t="str">
        <x:v>BV12</x:v>
      </x:c>
      <x:c r="B110" s="12" t="str">
        <x:v>Assistant question</x:v>
      </x:c>
      <x:c r="C110" s="12" t="str">
        <x:v>The buyer and recorded owner differ. What do the dates and लंबित status tell us?</x:v>
      </x:c>
    </x:row>
    <x:row r="111" ht="61" customHeight="1">
      <x:c r="A111" s="12" t="str">
        <x:v>BV12</x:v>
      </x:c>
      <x:c r="B111" s="12" t="str">
        <x:v>Assistant must mention</x:v>
      </x:c>
      <x:c r="C111" s="12" t="str">
        <x:v>The 2022-12-01 Jamabandi predates the 2025-09-10 deed.
Raghav Demo appears in the historical record; Meera Demo is the deed buyer.
The 2025-09-22 acknowledgement says लंबित / pending; obtain current status, final order and updated records.</x:v>
      </x:c>
    </x:row>
    <x:row r="112" ht="129" customHeight="1">
      <x:c r="A112" s="12" t="str">
        <x:v>BV12</x:v>
      </x:c>
      <x:c r="B112" s="12" t="str">
        <x:v>Must not claim</x:v>
      </x:c>
      <x:c r="C112" s="12" t="str">
        <x:v>Government records were checked.
Ownership or title is legally verified.
The property is safe to purchase.
A discrepancy proves fraud.
Mutation is approved or completed.
The older Jamabandi disproves the later transfer.
The application remains pending today based on a live status check.</x:v>
      </x:c>
    </x:row>
    <x:row r="113" ht="129" customHeight="1">
      <x:c r="A113" s="12" t="str">
        <x:v>BV12</x:v>
      </x:c>
      <x:c r="B113" s="12" t="str">
        <x:v>Before review</x:v>
      </x:c>
      <x:c r="C113" s="12" t="str">
        <x:v>official-verification: unknown
missing-map: unknown
missing-encumbrance: unknown
review-BV12-D1: review
owner-sequence: review
mutation-pending-BV12-D3: review
Forbidden prefixes: area-agrees-, owner-name-agrees, identifier-, owner-name-agrees, missing-mutation, area-BV12</x:v>
      </x:c>
    </x:row>
    <x:row r="114" ht="129" customHeight="1">
      <x:c r="A114" s="12" t="str">
        <x:v>BV12</x:v>
      </x:c>
      <x:c r="B114" s="12" t="str">
        <x:v>After gold review</x:v>
      </x:c>
      <x:c r="C114" s="12" t="str">
        <x:v>official-verification: unknown
missing-map: unknown
missing-encumbrance: unknown
owner-sequence: review
mutation-pending-BV12-D3: review
area-agrees-BV12-D1-BV12-D2: consistent
Forbidden prefixes: review-, identifier-, owner-name-agrees, missing-mutation, area-BV12</x:v>
      </x:c>
    </x:row>
    <x:row r="115" ht="30" customHeight="1">
      <x:c r="A115" s="32" t="str">
        <x:v>BV13</x:v>
      </x:c>
      <x:c r="B115" s="32" t="str">
        <x:v>Case</x:v>
      </x:c>
      <x:c r="C115" s="32" t="str">
        <x:v>Mildly blurred but readable JPEGs (development; scan_quality)</x:v>
      </x:c>
    </x:row>
    <x:row r="116" ht="44" customHeight="1">
      <x:c r="A116" s="12" t="str">
        <x:v>BV13</x:v>
      </x:c>
      <x:c r="B116" s="12" t="str">
        <x:v>Upload files</x:v>
      </x:c>
      <x:c r="C116" s="12" t="str">
        <x:v>BV13-01-sale-deed.jpg (sale_deed; en; mild-blur)
BV13-02-jamabandi.jpg (jamabandi; en; mild-blur)</x:v>
      </x:c>
    </x:row>
    <x:row r="117" ht="44" customHeight="1">
      <x:c r="A117" s="12" t="str">
        <x:v>BV13</x:v>
      </x:c>
      <x:c r="B117" s="12" t="str">
        <x:v>Case setup</x:v>
      </x:c>
      <x:c r="C117" s="12" t="str">
        <x:v>state: BR; district: Katihar; circle: Katihar; mauza: Ambar Demo Mauza; khata: 0068; khesra: 0527; seller: Farah Demo; purpose: purchase</x:v>
      </x:c>
    </x:row>
    <x:row r="118" ht="78" customHeight="1">
      <x:c r="A118" s="12" t="str">
        <x:v>BV13</x:v>
      </x:c>
      <x:c r="B118" s="12" t="str">
        <x:v>Expected behavior</x:v>
      </x:c>
      <x:c r="C118" s="12" t="str">
        <x:v>Extract every readable field without substituting similar-looking numbers.
Retain evidence quotes and uncertainty where warranted.
If a field is not confidently read, abstention is safer than a fabricated value, but record that abstention as a missed gold field.</x:v>
      </x:c>
    </x:row>
    <x:row r="119" ht="30" customHeight="1">
      <x:c r="A119" s="12" t="str">
        <x:v>BV13</x:v>
      </x:c>
      <x:c r="B119" s="12" t="str">
        <x:v>Assistant question</x:v>
      </x:c>
      <x:c r="C119" s="12" t="str">
        <x:v>What can you read from these scans, and what should I verify manually?</x:v>
      </x:c>
    </x:row>
    <x:row r="120" ht="61" customHeight="1">
      <x:c r="A120" s="12" t="str">
        <x:v>BV13</x:v>
      </x:c>
      <x:c r="B120" s="12" t="str">
        <x:v>Assistant must mention</x:v>
      </x:c>
      <x:c r="C120" s="12" t="str">
        <x:v>The readable source entries name Imran Demo and record 24 decimal.
The scans need source-by-source manual checking before relying on comparisons.
Readability does not authenticate either record.</x:v>
      </x:c>
    </x:row>
    <x:row r="121" ht="78" customHeight="1">
      <x:c r="A121" s="12" t="str">
        <x:v>BV13</x:v>
      </x:c>
      <x:c r="B121" s="12" t="str">
        <x:v>Must not claim</x:v>
      </x:c>
      <x:c r="C121" s="12" t="str">
        <x:v>Government records were checked.
Ownership or title is legally verified.
The property is safe to purchase.
A discrepancy proves fraud.</x:v>
      </x:c>
    </x:row>
    <x:row r="122" ht="112" customHeight="1">
      <x:c r="A122" s="12" t="str">
        <x:v>BV13</x:v>
      </x:c>
      <x:c r="B122" s="12" t="str">
        <x:v>Before review</x:v>
      </x:c>
      <x:c r="C122" s="12" t="str">
        <x:v>official-verification: unknown
missing-mutation: unknown
missing-map: unknown
missing-encumbrance: unknown
review-BV13-D1: review
Forbidden prefixes: area-agrees-, owner-name-agrees, identifier-, owner-sequence, area-BV13</x:v>
      </x:c>
    </x:row>
    <x:row r="123" ht="129" customHeight="1">
      <x:c r="A123" s="12" t="str">
        <x:v>BV13</x:v>
      </x:c>
      <x:c r="B123" s="12" t="str">
        <x:v>After gold review</x:v>
      </x:c>
      <x:c r="C123" s="12" t="str">
        <x:v>official-verification: unknown
missing-mutation: unknown
missing-map: unknown
missing-encumbrance: unknown
area-agrees-: consistent
owner-name-agrees: consistent
Forbidden prefixes: review-, identifier-, owner-sequence, area-BV13</x:v>
      </x:c>
    </x:row>
    <x:row r="124" ht="30" customHeight="1">
      <x:c r="A124" s="32" t="str">
        <x:v>BV14</x:v>
      </x:c>
      <x:c r="B124" s="32" t="str">
        <x:v>Case</x:v>
      </x:c>
      <x:c r="C124" s="32" t="str">
        <x:v>Obscured plot number and area (development; scan_quality)</x:v>
      </x:c>
    </x:row>
    <x:row r="125" ht="44" customHeight="1">
      <x:c r="A125" s="12" t="str">
        <x:v>BV14</x:v>
      </x:c>
      <x:c r="B125" s="12" t="str">
        <x:v>Upload files</x:v>
      </x:c>
      <x:c r="C125" s="12" t="str">
        <x:v>BV14-01-sale-deed.png (sale_deed; en; masked)
BV14-02-jamabandi.png (jamabandi; en; clear)</x:v>
      </x:c>
    </x:row>
    <x:row r="126" ht="44" customHeight="1">
      <x:c r="A126" s="12" t="str">
        <x:v>BV14</x:v>
      </x:c>
      <x:c r="B126" s="12" t="str">
        <x:v>Case setup</x:v>
      </x:c>
      <x:c r="C126" s="12" t="str">
        <x:v>state: BR; district: Bhojpur; circle: Arrah; mauza: Kshitij Demo Mauza; khata: 0095; khesra: 0408; seller: Nikhil Demo; purpose: purchase</x:v>
      </x:c>
    </x:row>
    <x:row r="127" ht="61" customHeight="1">
      <x:c r="A127" s="12" t="str">
        <x:v>BV14</x:v>
      </x:c>
      <x:c r="B127" s="12" t="str">
        <x:v>Expected behavior</x:v>
      </x:c>
      <x:c r="C127" s="12" t="str">
        <x:v>Omit the deed khesra and area; do not copy 0408 or 13 from elsewhere.
Extract the visible deed area unit decimal separately.
Report incomplete parcel identity and missing deed area; do not issue same-parcel area or owner agreement.</x:v>
      </x:c>
    </x:row>
    <x:row r="128" ht="30" customHeight="1">
      <x:c r="A128" s="12" t="str">
        <x:v>BV14</x:v>
      </x:c>
      <x:c r="B128" s="12" t="str">
        <x:v>Assistant question</x:v>
      </x:c>
      <x:c r="C128" s="12" t="str">
        <x:v>Can you recover the blocked numbers using the other document?</x:v>
      </x:c>
    </x:row>
    <x:row r="129" ht="78" customHeight="1">
      <x:c r="A129" s="12" t="str">
        <x:v>BV14</x:v>
      </x:c>
      <x:c r="B129" s="12" t="str">
        <x:v>Assistant must mention</x:v>
      </x:c>
      <x:c r="C129" s="12" t="str">
        <x:v>The supplied deed evidence does not provide khesra or area. The user describes blocked numbers; do not claim independent inspection or recovery of the image.
The Jamabandi separately states khesra 0408 and area 13 decimal.
Those values must not be attributed to the obscured deed; obtain a clearer complete source.</x:v>
      </x:c>
    </x:row>
    <x:row r="130" ht="112" customHeight="1">
      <x:c r="A130" s="12" t="str">
        <x:v>BV14</x:v>
      </x:c>
      <x:c r="B130" s="12" t="str">
        <x:v>Must not claim</x:v>
      </x:c>
      <x:c r="C130" s="12" t="str">
        <x:v>Government records were checked.
Ownership or title is legally verified.
The property is safe to purchase.
A discrepancy proves fraud.
The blocked deed khesra is 0408.
The blocked deed area is 13 decimal.</x:v>
      </x:c>
    </x:row>
    <x:row r="131" ht="163" customHeight="1">
      <x:c r="A131" s="12" t="str">
        <x:v>BV14</x:v>
      </x:c>
      <x:c r="B131" s="12" t="str">
        <x:v>Before review</x:v>
      </x:c>
      <x:c r="C131" s="12" t="str">
        <x:v>official-verification: unknown
missing-mutation: unknown
missing-map: unknown
missing-encumbrance: unknown
review-BV14-D1: review
scope-BV14-D1: unknown
content-BV14-D1: unknown
Forbidden prefixes: area-agrees-, owner-name-agrees, identifier-, owner-name-agrees, owner-sequence, area-agrees-, area-BV14</x:v>
      </x:c>
    </x:row>
    <x:row r="132" ht="129" customHeight="1">
      <x:c r="A132" s="12" t="str">
        <x:v>BV14</x:v>
      </x:c>
      <x:c r="B132" s="12" t="str">
        <x:v>After gold review</x:v>
      </x:c>
      <x:c r="C132" s="12" t="str">
        <x:v>official-verification: unknown
missing-mutation: unknown
missing-map: unknown
missing-encumbrance: unknown
scope-BV14-D1: unknown
content-BV14-D1: unknown
Forbidden prefixes: review-, identifier-, owner-name-agrees, owner-sequence, area-agrees-, area-BV14</x:v>
      </x:c>
    </x:row>
    <x:row r="133" ht="30" customHeight="1">
      <x:c r="A133" s="32" t="str">
        <x:v>BV15</x:v>
      </x:c>
      <x:c r="B133" s="32" t="str">
        <x:v>Case</x:v>
      </x:c>
      <x:c r="C133" s="32" t="str">
        <x:v>Unreadable Jamabandi body (holdout; scan_quality)</x:v>
      </x:c>
    </x:row>
    <x:row r="134" ht="44" customHeight="1">
      <x:c r="A134" s="12" t="str">
        <x:v>BV15</x:v>
      </x:c>
      <x:c r="B134" s="12" t="str">
        <x:v>Upload files</x:v>
      </x:c>
      <x:c r="C134" s="12" t="str">
        <x:v>BV15-01-sale-deed.pdf (sale_deed; en; clear)
BV15-02-jamabandi.pdf (jamabandi; en; severe)</x:v>
      </x:c>
    </x:row>
    <x:row r="135" ht="44" customHeight="1">
      <x:c r="A135" s="12" t="str">
        <x:v>BV15</x:v>
      </x:c>
      <x:c r="B135" s="12" t="str">
        <x:v>Case setup</x:v>
      </x:c>
      <x:c r="C135" s="12" t="str">
        <x:v>state: BR; district: Buxar; circle: Buxar; mauza: Ankur Demo Mauza; khata: 0031; khesra: 0614; seller: Sonal Demo; purpose: purchase</x:v>
      </x:c>
    </x:row>
    <x:row r="136" ht="61" customHeight="1">
      <x:c r="A136" s="12" t="str">
        <x:v>BV15</x:v>
      </x:c>
      <x:c r="B136" s="12" t="str">
        <x:v>Expected behavior</x:v>
      </x:c>
      <x:c r="C136" s="12" t="str">
        <x:v>Extract only the readable deed fields; the Jamabandi must contribute no invented fields.
Return an empty Jamabandi extraction with an explanation, or fail safely with a manual-review message.
Do not count a visible document heading as usable Jamabandi evidence.</x:v>
      </x:c>
    </x:row>
    <x:row r="137" ht="30" customHeight="1">
      <x:c r="A137" s="12" t="str">
        <x:v>BV15</x:v>
      </x:c>
      <x:c r="B137" s="12" t="str">
        <x:v>Assistant question</x:v>
      </x:c>
      <x:c r="C137" s="12" t="str">
        <x:v>The Jamabandi image is damaged. Can you still confirm its owner from the deed?</x:v>
      </x:c>
    </x:row>
    <x:row r="138" ht="78" customHeight="1">
      <x:c r="A138" s="12" t="str">
        <x:v>BV15</x:v>
      </x:c>
      <x:c r="B138" s="12" t="str">
        <x:v>Assistant must mention</x:v>
      </x:c>
      <x:c r="C138" s="12" t="str">
        <x:v>No Jamabandi field evidence is available. Attribute image damage to the user's description rather than claiming the assistant inspected the image.
Yash Demo is named only as the deed buyer; that does not establish the unreadable recorded-owner entry.
Obtain a readable current record; official ownership verification has not occurred.</x:v>
      </x:c>
    </x:row>
    <x:row r="139" ht="112" customHeight="1">
      <x:c r="A139" s="12" t="str">
        <x:v>BV15</x:v>
      </x:c>
      <x:c r="B139" s="12" t="str">
        <x:v>Must not claim</x:v>
      </x:c>
      <x:c r="C139" s="12" t="str">
        <x:v>Government records were checked.
Ownership or title is legally verified.
The property is safe to purchase.
A discrepancy proves fraud.
The unreadable Jamabandi names Yash Demo.
The unreadable Jamabandi supplies any parcel identifier, date or area.</x:v>
      </x:c>
    </x:row>
    <x:row r="140" ht="197" customHeight="1">
      <x:c r="A140" s="12" t="str">
        <x:v>BV15</x:v>
      </x:c>
      <x:c r="B140" s="12" t="str">
        <x:v>Before review</x:v>
      </x:c>
      <x:c r="C140" s="12" t="str">
        <x:v>official-verification: unknown
missing-jamabandi: unknown
missing-mutation: unknown
missing-map: unknown
missing-encumbrance: unknown
review-BV15-D1: review
content-BV15-D2: unknown
scope-BV15-D2: unknown
date-BV15-D2: unknown
Forbidden prefixes: area-agrees-, owner-name-agrees, identifier-, owner-name-agrees, owner-sequence, area-agrees-, area-BV15</x:v>
      </x:c>
    </x:row>
    <x:row r="141" ht="163" customHeight="1">
      <x:c r="A141" s="12" t="str">
        <x:v>BV15</x:v>
      </x:c>
      <x:c r="B141" s="12" t="str">
        <x:v>After gold review</x:v>
      </x:c>
      <x:c r="C141" s="12" t="str">
        <x:v>official-verification: unknown
missing-jamabandi: unknown
missing-mutation: unknown
missing-map: unknown
missing-encumbrance: unknown
content-BV15-D2: unknown
scope-BV15-D2: unknown
date-BV15-D2: unknown
Forbidden prefixes: review-, identifier-, owner-name-agrees, owner-sequence, area-agrees-, area-BV15</x:v>
      </x:c>
    </x:row>
  </x:sheetData>
  <x:pageMargins left="0.7" right="0.7" top="0.75" bottom="0.75" header="0.3" footer="0.3"/>
</x:worksheet>
</file>